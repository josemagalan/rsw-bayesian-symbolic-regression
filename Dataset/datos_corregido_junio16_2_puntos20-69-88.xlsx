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os\articles\JMG5\"/>
    </mc:Choice>
  </mc:AlternateContent>
  <xr:revisionPtr revIDLastSave="0" documentId="13_ncr:1_{7A325621-AFB7-442F-9E48-5A47EE15FAB5}" xr6:coauthVersionLast="36" xr6:coauthVersionMax="36" xr10:uidLastSave="{00000000-0000-0000-0000-000000000000}"/>
  <bookViews>
    <workbookView xWindow="90" yWindow="8010" windowWidth="15480" windowHeight="8420" xr2:uid="{00000000-000D-0000-FFFF-FFFF00000000}"/>
  </bookViews>
  <sheets>
    <sheet name="Hoja1" sheetId="1" r:id="rId1"/>
  </sheets>
  <definedNames>
    <definedName name="_xlnm._FilterDatabase" localSheetId="0" hidden="1">Hoja1!$C$1:$I$243</definedName>
  </definedName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3" i="1"/>
  <c r="I234" i="1"/>
  <c r="I235" i="1"/>
  <c r="I236" i="1"/>
  <c r="I237" i="1"/>
  <c r="I238" i="1"/>
  <c r="I239" i="1"/>
  <c r="I240" i="1"/>
  <c r="I241" i="1"/>
  <c r="I242" i="1"/>
  <c r="I243" i="1"/>
  <c r="I2" i="1"/>
  <c r="H232" i="1" l="1"/>
  <c r="I232" i="1" s="1"/>
</calcChain>
</file>

<file path=xl/sharedStrings.xml><?xml version="1.0" encoding="utf-8"?>
<sst xmlns="http://schemas.openxmlformats.org/spreadsheetml/2006/main" count="16" uniqueCount="8">
  <si>
    <t>Tiempo (ciclos)</t>
  </si>
  <si>
    <t>Quality*</t>
  </si>
  <si>
    <t>* 0 = Unacceptable; 1 = Acceptable</t>
  </si>
  <si>
    <t>RSW joint (No.)</t>
  </si>
  <si>
    <t>WT (s)</t>
  </si>
  <si>
    <t>WC (kA)</t>
  </si>
  <si>
    <t>EF (N)</t>
  </si>
  <si>
    <t>TSLBC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</si>
</sst>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r>
              <a:rPr lang="es-ES">
                <a:latin typeface="Times New Roman" pitchFamily="18" charset="0"/>
                <a:cs typeface="Times New Roman" pitchFamily="18" charset="0"/>
              </a:rPr>
              <a:t>EF = 1500 N</a:t>
            </a:r>
          </a:p>
        </c:rich>
      </c:tx>
      <c:layout>
        <c:manualLayout>
          <c:xMode val="edge"/>
          <c:yMode val="edge"/>
          <c:x val="0.40563380281690142"/>
          <c:y val="2.4366471734892786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v>6.5 kA</c:v>
          </c:tx>
          <c:spPr>
            <a:ln w="19050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6.5 kA</c:name>
            <c:spPr>
              <a:ln w="25400">
                <a:solidFill>
                  <a:schemeClr val="tx1"/>
                </a:solidFill>
                <a:prstDash val="lgDashDot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Hoja1!$D$79:$D$89</c:f>
            </c:numRef>
          </c:xVal>
          <c:yVal>
            <c:numRef>
              <c:f>Hoja1!$H$79:$H$89</c:f>
              <c:numCache>
                <c:formatCode>General</c:formatCode>
                <c:ptCount val="11"/>
                <c:pt idx="0">
                  <c:v>6.5</c:v>
                </c:pt>
                <c:pt idx="1">
                  <c:v>6.58</c:v>
                </c:pt>
                <c:pt idx="2">
                  <c:v>6.56</c:v>
                </c:pt>
                <c:pt idx="3">
                  <c:v>6.62</c:v>
                </c:pt>
                <c:pt idx="4">
                  <c:v>6.48</c:v>
                </c:pt>
                <c:pt idx="5">
                  <c:v>6.65</c:v>
                </c:pt>
                <c:pt idx="6">
                  <c:v>5.95</c:v>
                </c:pt>
                <c:pt idx="7">
                  <c:v>6.3</c:v>
                </c:pt>
                <c:pt idx="8">
                  <c:v>5.68</c:v>
                </c:pt>
                <c:pt idx="9">
                  <c:v>4.67</c:v>
                </c:pt>
                <c:pt idx="10">
                  <c:v>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1A-4B1A-9146-E9E02D2B542C}"/>
            </c:ext>
          </c:extLst>
        </c:ser>
        <c:ser>
          <c:idx val="1"/>
          <c:order val="1"/>
          <c:tx>
            <c:v>6 kA</c:v>
          </c:tx>
          <c:spPr>
            <a:ln w="19050">
              <a:noFill/>
              <a:round/>
              <a:tailEnd type="none"/>
            </a:ln>
          </c:spPr>
          <c:marker>
            <c:symbol val="triangle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6 kA</c:name>
            <c:spPr>
              <a:ln w="25400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Hoja1!$D$2:$D$12</c:f>
            </c:numRef>
          </c:xVal>
          <c:yVal>
            <c:numRef>
              <c:f>Hoja1!$H$2:$H$12</c:f>
              <c:numCache>
                <c:formatCode>General</c:formatCode>
                <c:ptCount val="11"/>
                <c:pt idx="0">
                  <c:v>6.23</c:v>
                </c:pt>
                <c:pt idx="1">
                  <c:v>6.93</c:v>
                </c:pt>
                <c:pt idx="2">
                  <c:v>6.76</c:v>
                </c:pt>
                <c:pt idx="3">
                  <c:v>6.77</c:v>
                </c:pt>
                <c:pt idx="4">
                  <c:v>6.29</c:v>
                </c:pt>
                <c:pt idx="5">
                  <c:v>6.92</c:v>
                </c:pt>
                <c:pt idx="6">
                  <c:v>6.48</c:v>
                </c:pt>
                <c:pt idx="7">
                  <c:v>5.79</c:v>
                </c:pt>
                <c:pt idx="8">
                  <c:v>6.05</c:v>
                </c:pt>
                <c:pt idx="9">
                  <c:v>5.86</c:v>
                </c:pt>
                <c:pt idx="10">
                  <c:v>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1A-4B1A-9146-E9E02D2B542C}"/>
            </c:ext>
          </c:extLst>
        </c:ser>
        <c:ser>
          <c:idx val="0"/>
          <c:order val="2"/>
          <c:tx>
            <c:v>5.5 kA</c:v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5.5 kA</c:name>
            <c:spPr>
              <a:ln w="25400">
                <a:solidFill>
                  <a:schemeClr val="tx1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Hoja1!$D$13:$D$23</c:f>
            </c:numRef>
          </c:xVal>
          <c:yVal>
            <c:numRef>
              <c:f>Hoja1!$H$13:$H$23</c:f>
              <c:numCache>
                <c:formatCode>General</c:formatCode>
                <c:ptCount val="11"/>
                <c:pt idx="0">
                  <c:v>6.31</c:v>
                </c:pt>
                <c:pt idx="1">
                  <c:v>6.44</c:v>
                </c:pt>
                <c:pt idx="2">
                  <c:v>6.33</c:v>
                </c:pt>
                <c:pt idx="3">
                  <c:v>6.5</c:v>
                </c:pt>
                <c:pt idx="4">
                  <c:v>6.66</c:v>
                </c:pt>
                <c:pt idx="5">
                  <c:v>6.36</c:v>
                </c:pt>
                <c:pt idx="6">
                  <c:v>6</c:v>
                </c:pt>
                <c:pt idx="7">
                  <c:v>6.18</c:v>
                </c:pt>
                <c:pt idx="8">
                  <c:v>5.61</c:v>
                </c:pt>
                <c:pt idx="9">
                  <c:v>5.5</c:v>
                </c:pt>
                <c:pt idx="10">
                  <c:v>5.05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1A-4B1A-9146-E9E02D2B542C}"/>
            </c:ext>
          </c:extLst>
        </c:ser>
        <c:ser>
          <c:idx val="2"/>
          <c:order val="3"/>
          <c:tx>
            <c:v>5 kA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5 kA</c:name>
            <c:spPr>
              <a:ln w="25400">
                <a:solidFill>
                  <a:schemeClr val="tx1"/>
                </a:solidFill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Hoja1!$D$24:$D$34</c:f>
            </c:numRef>
          </c:xVal>
          <c:yVal>
            <c:numRef>
              <c:f>Hoja1!$H$24:$H$34</c:f>
              <c:numCache>
                <c:formatCode>General</c:formatCode>
                <c:ptCount val="11"/>
                <c:pt idx="0">
                  <c:v>6.34</c:v>
                </c:pt>
                <c:pt idx="1">
                  <c:v>6.23</c:v>
                </c:pt>
                <c:pt idx="2">
                  <c:v>6.37</c:v>
                </c:pt>
                <c:pt idx="3">
                  <c:v>6.33</c:v>
                </c:pt>
                <c:pt idx="4">
                  <c:v>6.21</c:v>
                </c:pt>
                <c:pt idx="5">
                  <c:v>5.93</c:v>
                </c:pt>
                <c:pt idx="6">
                  <c:v>6.11</c:v>
                </c:pt>
                <c:pt idx="7">
                  <c:v>5.75</c:v>
                </c:pt>
                <c:pt idx="8">
                  <c:v>5.6</c:v>
                </c:pt>
                <c:pt idx="9">
                  <c:v>5.12</c:v>
                </c:pt>
                <c:pt idx="10">
                  <c:v>4.51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1A-4B1A-9146-E9E02D2B542C}"/>
            </c:ext>
          </c:extLst>
        </c:ser>
        <c:ser>
          <c:idx val="3"/>
          <c:order val="4"/>
          <c:tx>
            <c:v>4.5 kA</c:v>
          </c:tx>
          <c:spPr>
            <a:ln w="19050">
              <a:noFill/>
            </a:ln>
          </c:spPr>
          <c:marker>
            <c:symbol val="diamond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4.5 kA</c:name>
            <c:spPr>
              <a:ln w="25400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Hoja1!$D$35:$D$45</c:f>
            </c:numRef>
          </c:xVal>
          <c:yVal>
            <c:numRef>
              <c:f>Hoja1!$H$35:$H$45</c:f>
              <c:numCache>
                <c:formatCode>General</c:formatCode>
                <c:ptCount val="11"/>
                <c:pt idx="0">
                  <c:v>6.19</c:v>
                </c:pt>
                <c:pt idx="1">
                  <c:v>6.25</c:v>
                </c:pt>
                <c:pt idx="2">
                  <c:v>6.24</c:v>
                </c:pt>
                <c:pt idx="3">
                  <c:v>5.66</c:v>
                </c:pt>
                <c:pt idx="4">
                  <c:v>5.8</c:v>
                </c:pt>
                <c:pt idx="5">
                  <c:v>5.93</c:v>
                </c:pt>
                <c:pt idx="6">
                  <c:v>5.66</c:v>
                </c:pt>
                <c:pt idx="7">
                  <c:v>5.33</c:v>
                </c:pt>
                <c:pt idx="8">
                  <c:v>5.32</c:v>
                </c:pt>
                <c:pt idx="9">
                  <c:v>4.8499999999999996</c:v>
                </c:pt>
                <c:pt idx="10">
                  <c:v>4.05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1A-4B1A-9146-E9E02D2B542C}"/>
            </c:ext>
          </c:extLst>
        </c:ser>
        <c:ser>
          <c:idx val="4"/>
          <c:order val="5"/>
          <c:tx>
            <c:v>4 kA</c:v>
          </c:tx>
          <c:spPr>
            <a:ln w="19050">
              <a:noFill/>
            </a:ln>
          </c:spPr>
          <c:marker>
            <c:symbol val="plus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4 kA</c:name>
            <c:spPr>
              <a:ln w="25400">
                <a:solidFill>
                  <a:schemeClr val="tx1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Hoja1!$D$46:$D$56</c:f>
            </c:numRef>
          </c:xVal>
          <c:yVal>
            <c:numRef>
              <c:f>Hoja1!$H$46:$H$56</c:f>
              <c:numCache>
                <c:formatCode>General</c:formatCode>
                <c:ptCount val="11"/>
                <c:pt idx="0">
                  <c:v>5.51</c:v>
                </c:pt>
                <c:pt idx="1">
                  <c:v>5.48</c:v>
                </c:pt>
                <c:pt idx="2">
                  <c:v>5.1100000000000003</c:v>
                </c:pt>
                <c:pt idx="3">
                  <c:v>5.14</c:v>
                </c:pt>
                <c:pt idx="4">
                  <c:v>5.36</c:v>
                </c:pt>
                <c:pt idx="5">
                  <c:v>5.54</c:v>
                </c:pt>
                <c:pt idx="6">
                  <c:v>5.0999999999999996</c:v>
                </c:pt>
                <c:pt idx="7">
                  <c:v>4.8</c:v>
                </c:pt>
                <c:pt idx="8">
                  <c:v>4.93</c:v>
                </c:pt>
                <c:pt idx="9">
                  <c:v>4.0999999999999996</c:v>
                </c:pt>
                <c:pt idx="10">
                  <c:v>3.64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61A-4B1A-9146-E9E02D2B542C}"/>
            </c:ext>
          </c:extLst>
        </c:ser>
        <c:ser>
          <c:idx val="5"/>
          <c:order val="6"/>
          <c:tx>
            <c:v>3.5 kA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3.5 kA</c:name>
            <c:spPr>
              <a:ln w="25400">
                <a:solidFill>
                  <a:schemeClr val="tx1"/>
                </a:solidFill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Hoja1!$D$57:$D$67</c:f>
            </c:numRef>
          </c:xVal>
          <c:yVal>
            <c:numRef>
              <c:f>Hoja1!$H$57:$H$67</c:f>
              <c:numCache>
                <c:formatCode>General</c:formatCode>
                <c:ptCount val="11"/>
                <c:pt idx="0">
                  <c:v>4.53</c:v>
                </c:pt>
                <c:pt idx="1">
                  <c:v>4.17</c:v>
                </c:pt>
                <c:pt idx="2">
                  <c:v>4.12</c:v>
                </c:pt>
                <c:pt idx="3">
                  <c:v>4.78</c:v>
                </c:pt>
                <c:pt idx="4">
                  <c:v>4.0199999999999996</c:v>
                </c:pt>
                <c:pt idx="5">
                  <c:v>4.24</c:v>
                </c:pt>
                <c:pt idx="6">
                  <c:v>4.3600000000000003</c:v>
                </c:pt>
                <c:pt idx="7">
                  <c:v>4.26</c:v>
                </c:pt>
                <c:pt idx="8">
                  <c:v>3.78</c:v>
                </c:pt>
                <c:pt idx="9">
                  <c:v>3.58</c:v>
                </c:pt>
                <c:pt idx="10">
                  <c:v>3.62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1A-4B1A-9146-E9E02D2B542C}"/>
            </c:ext>
          </c:extLst>
        </c:ser>
        <c:ser>
          <c:idx val="6"/>
          <c:order val="7"/>
          <c:tx>
            <c:v>3 kA</c:v>
          </c:tx>
          <c:spPr>
            <a:ln w="19050">
              <a:noFill/>
            </a:ln>
          </c:spPr>
          <c:marker>
            <c:symbol val="triangle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3 kA</c:name>
            <c:spPr>
              <a:ln w="25400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Hoja1!$D$68:$D$78</c:f>
            </c:numRef>
          </c:xVal>
          <c:yVal>
            <c:numRef>
              <c:f>Hoja1!$H$68:$H$78</c:f>
              <c:numCache>
                <c:formatCode>General</c:formatCode>
                <c:ptCount val="11"/>
                <c:pt idx="0">
                  <c:v>3.77</c:v>
                </c:pt>
                <c:pt idx="1">
                  <c:v>3.56</c:v>
                </c:pt>
                <c:pt idx="2">
                  <c:v>4.26</c:v>
                </c:pt>
                <c:pt idx="3">
                  <c:v>4.49</c:v>
                </c:pt>
                <c:pt idx="4">
                  <c:v>3.81</c:v>
                </c:pt>
                <c:pt idx="5">
                  <c:v>3.72</c:v>
                </c:pt>
                <c:pt idx="6">
                  <c:v>3.64</c:v>
                </c:pt>
                <c:pt idx="7">
                  <c:v>3.51</c:v>
                </c:pt>
                <c:pt idx="8">
                  <c:v>3.22</c:v>
                </c:pt>
                <c:pt idx="9">
                  <c:v>3.38</c:v>
                </c:pt>
                <c:pt idx="10">
                  <c:v>2.83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61A-4B1A-9146-E9E02D2B542C}"/>
            </c:ext>
          </c:extLst>
        </c:ser>
        <c:ser>
          <c:idx val="8"/>
          <c:order val="8"/>
          <c:tx>
            <c:v>2.5 kA</c:v>
          </c:tx>
          <c:spPr>
            <a:ln w="19050">
              <a:noFill/>
            </a:ln>
          </c:spPr>
          <c:marker>
            <c:symbol val="square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2.5 kA</c:name>
            <c:spPr>
              <a:ln w="25400">
                <a:solidFill>
                  <a:schemeClr val="tx1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Hoja1!$D$90:$D$100</c:f>
            </c:numRef>
          </c:xVal>
          <c:yVal>
            <c:numRef>
              <c:f>Hoja1!$H$90:$H$100</c:f>
              <c:numCache>
                <c:formatCode>General</c:formatCode>
                <c:ptCount val="11"/>
                <c:pt idx="0">
                  <c:v>4.0999999999999996</c:v>
                </c:pt>
                <c:pt idx="1">
                  <c:v>4</c:v>
                </c:pt>
                <c:pt idx="2">
                  <c:v>3.51</c:v>
                </c:pt>
                <c:pt idx="3">
                  <c:v>3.83</c:v>
                </c:pt>
                <c:pt idx="4">
                  <c:v>3.76</c:v>
                </c:pt>
                <c:pt idx="5">
                  <c:v>3.45</c:v>
                </c:pt>
                <c:pt idx="6">
                  <c:v>3.24</c:v>
                </c:pt>
                <c:pt idx="7">
                  <c:v>3.1</c:v>
                </c:pt>
                <c:pt idx="8">
                  <c:v>2.95</c:v>
                </c:pt>
                <c:pt idx="9">
                  <c:v>2.79</c:v>
                </c:pt>
                <c:pt idx="10">
                  <c:v>2.74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61A-4B1A-9146-E9E02D2B542C}"/>
            </c:ext>
          </c:extLst>
        </c:ser>
        <c:ser>
          <c:idx val="10"/>
          <c:order val="9"/>
          <c:tx>
            <c:v>2 kA</c:v>
          </c:tx>
          <c:spPr>
            <a:ln w="25400"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2 kA</c:name>
            <c:spPr>
              <a:ln w="25400" cmpd="sng">
                <a:solidFill>
                  <a:schemeClr val="tx1"/>
                </a:solidFill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Hoja1!$D$101:$D$111</c:f>
            </c:numRef>
          </c:xVal>
          <c:yVal>
            <c:numRef>
              <c:f>Hoja1!$H$101:$H$111</c:f>
              <c:numCache>
                <c:formatCode>General</c:formatCode>
                <c:ptCount val="11"/>
                <c:pt idx="0">
                  <c:v>3.43</c:v>
                </c:pt>
                <c:pt idx="1">
                  <c:v>3.15</c:v>
                </c:pt>
                <c:pt idx="2">
                  <c:v>3.19</c:v>
                </c:pt>
                <c:pt idx="3">
                  <c:v>3.14</c:v>
                </c:pt>
                <c:pt idx="4">
                  <c:v>3.25</c:v>
                </c:pt>
                <c:pt idx="5">
                  <c:v>2.5099999999999998</c:v>
                </c:pt>
                <c:pt idx="6">
                  <c:v>2.58</c:v>
                </c:pt>
                <c:pt idx="7">
                  <c:v>2.42</c:v>
                </c:pt>
                <c:pt idx="8">
                  <c:v>2.4500000000000002</c:v>
                </c:pt>
                <c:pt idx="9">
                  <c:v>2.52</c:v>
                </c:pt>
                <c:pt idx="10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61A-4B1A-9146-E9E02D2B542C}"/>
            </c:ext>
          </c:extLst>
        </c:ser>
        <c:ser>
          <c:idx val="9"/>
          <c:order val="10"/>
          <c:tx>
            <c:v>1.5 kA</c:v>
          </c:tx>
          <c:spPr>
            <a:ln w="19050">
              <a:noFill/>
            </a:ln>
          </c:spPr>
          <c:marker>
            <c:symbol val="diamond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1.5 kA</c:name>
            <c:spPr>
              <a:ln w="25400" cmpd="sng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Hoja1!$D$233:$D$243</c:f>
            </c:numRef>
          </c:xVal>
          <c:yVal>
            <c:numRef>
              <c:f>Hoja1!$H$233:$H$243</c:f>
              <c:numCache>
                <c:formatCode>General</c:formatCode>
                <c:ptCount val="11"/>
                <c:pt idx="0">
                  <c:v>2.17</c:v>
                </c:pt>
                <c:pt idx="1">
                  <c:v>2.11</c:v>
                </c:pt>
                <c:pt idx="2">
                  <c:v>2.0499999999999998</c:v>
                </c:pt>
                <c:pt idx="3">
                  <c:v>1.45</c:v>
                </c:pt>
                <c:pt idx="4">
                  <c:v>1.51</c:v>
                </c:pt>
                <c:pt idx="5">
                  <c:v>1.33</c:v>
                </c:pt>
                <c:pt idx="6">
                  <c:v>1.46</c:v>
                </c:pt>
                <c:pt idx="7">
                  <c:v>1.36</c:v>
                </c:pt>
                <c:pt idx="8">
                  <c:v>1.17</c:v>
                </c:pt>
                <c:pt idx="9">
                  <c:v>1.38</c:v>
                </c:pt>
                <c:pt idx="10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61A-4B1A-9146-E9E02D2B5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72416"/>
        <c:axId val="68772992"/>
      </c:scatterChart>
      <c:valAx>
        <c:axId val="68772416"/>
        <c:scaling>
          <c:orientation val="minMax"/>
          <c:max val="12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 sz="1200">
                    <a:latin typeface="Times New Roman" pitchFamily="18" charset="0"/>
                    <a:cs typeface="Times New Roman" pitchFamily="18" charset="0"/>
                  </a:rPr>
                  <a:t>WT (cycles)</a:t>
                </a:r>
                <a:endParaRPr lang="es-E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s-ES"/>
          </a:p>
        </c:txPr>
        <c:crossAx val="68772992"/>
        <c:crosses val="autoZero"/>
        <c:crossBetween val="midCat"/>
      </c:valAx>
      <c:valAx>
        <c:axId val="68772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sz="1200" b="1" i="0" u="none" strike="noStrike" baseline="0">
                    <a:latin typeface="Times New Roman" pitchFamily="18" charset="0"/>
                    <a:cs typeface="Times New Roman" pitchFamily="18" charset="0"/>
                  </a:rPr>
                  <a:t>TSLBC (kN)</a:t>
                </a:r>
                <a:endParaRPr lang="es-ES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2.0657276995305163E-2"/>
              <c:y val="0.4319906064373532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ES"/>
          </a:p>
        </c:txPr>
        <c:crossAx val="6877241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r>
              <a:rPr lang="es-ES">
                <a:latin typeface="Times New Roman" pitchFamily="18" charset="0"/>
                <a:cs typeface="Times New Roman" pitchFamily="18" charset="0"/>
              </a:rPr>
              <a:t>EF = 1000 N</a:t>
            </a:r>
          </a:p>
        </c:rich>
      </c:tx>
      <c:layout>
        <c:manualLayout>
          <c:xMode val="edge"/>
          <c:yMode val="edge"/>
          <c:x val="0.40563380281690142"/>
          <c:y val="2.4390243902439025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v>6.5kA</c:v>
          </c:tx>
          <c:spPr>
            <a:ln w="19050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6.5 kA</c:name>
            <c:spPr>
              <a:ln w="25400">
                <a:solidFill>
                  <a:schemeClr val="tx1"/>
                </a:solidFill>
                <a:prstDash val="lgDashDot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Hoja1!$D$112:$D$122</c:f>
            </c:numRef>
          </c:xVal>
          <c:yVal>
            <c:numRef>
              <c:f>Hoja1!$H$112:$H$122</c:f>
              <c:numCache>
                <c:formatCode>General</c:formatCode>
                <c:ptCount val="11"/>
                <c:pt idx="0">
                  <c:v>6.63</c:v>
                </c:pt>
                <c:pt idx="1">
                  <c:v>6.78</c:v>
                </c:pt>
                <c:pt idx="2">
                  <c:v>7.21</c:v>
                </c:pt>
                <c:pt idx="3">
                  <c:v>6.97</c:v>
                </c:pt>
                <c:pt idx="4">
                  <c:v>6.6</c:v>
                </c:pt>
                <c:pt idx="5">
                  <c:v>6.68</c:v>
                </c:pt>
                <c:pt idx="6">
                  <c:v>6.48</c:v>
                </c:pt>
                <c:pt idx="7">
                  <c:v>6.5</c:v>
                </c:pt>
                <c:pt idx="8">
                  <c:v>6.49</c:v>
                </c:pt>
                <c:pt idx="9">
                  <c:v>5.29</c:v>
                </c:pt>
                <c:pt idx="10">
                  <c:v>4.59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96-4D34-9FA6-FB46578833AE}"/>
            </c:ext>
          </c:extLst>
        </c:ser>
        <c:ser>
          <c:idx val="1"/>
          <c:order val="1"/>
          <c:tx>
            <c:v>6 kA</c:v>
          </c:tx>
          <c:spPr>
            <a:ln w="19050">
              <a:noFill/>
              <a:round/>
              <a:tailEnd type="none"/>
            </a:ln>
          </c:spPr>
          <c:marker>
            <c:symbol val="triangle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6 kA</c:name>
            <c:spPr>
              <a:ln w="25400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Hoja1!$D$123:$D$133</c:f>
            </c:numRef>
          </c:xVal>
          <c:yVal>
            <c:numRef>
              <c:f>Hoja1!$H$123:$H$133</c:f>
              <c:numCache>
                <c:formatCode>General</c:formatCode>
                <c:ptCount val="11"/>
                <c:pt idx="0">
                  <c:v>7.04</c:v>
                </c:pt>
                <c:pt idx="1">
                  <c:v>6.98</c:v>
                </c:pt>
                <c:pt idx="2">
                  <c:v>6.68</c:v>
                </c:pt>
                <c:pt idx="3">
                  <c:v>6.38</c:v>
                </c:pt>
                <c:pt idx="4">
                  <c:v>6.55</c:v>
                </c:pt>
                <c:pt idx="5">
                  <c:v>6.66</c:v>
                </c:pt>
                <c:pt idx="6">
                  <c:v>6.58</c:v>
                </c:pt>
                <c:pt idx="7">
                  <c:v>6.48</c:v>
                </c:pt>
                <c:pt idx="8">
                  <c:v>6.08</c:v>
                </c:pt>
                <c:pt idx="9">
                  <c:v>5.41</c:v>
                </c:pt>
                <c:pt idx="10">
                  <c:v>4.7699999999999996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96-4D34-9FA6-FB46578833AE}"/>
            </c:ext>
          </c:extLst>
        </c:ser>
        <c:ser>
          <c:idx val="0"/>
          <c:order val="2"/>
          <c:tx>
            <c:v>5.5 kA</c:v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5.5 kA</c:name>
            <c:spPr>
              <a:ln w="25400">
                <a:solidFill>
                  <a:schemeClr val="tx1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Hoja1!$D$134:$D$144</c:f>
            </c:numRef>
          </c:xVal>
          <c:yVal>
            <c:numRef>
              <c:f>Hoja1!$H$134:$H$144</c:f>
              <c:numCache>
                <c:formatCode>General</c:formatCode>
                <c:ptCount val="11"/>
                <c:pt idx="0">
                  <c:v>6.14</c:v>
                </c:pt>
                <c:pt idx="1">
                  <c:v>6</c:v>
                </c:pt>
                <c:pt idx="2">
                  <c:v>6.1</c:v>
                </c:pt>
                <c:pt idx="3">
                  <c:v>6.29</c:v>
                </c:pt>
                <c:pt idx="4">
                  <c:v>6.48</c:v>
                </c:pt>
                <c:pt idx="5">
                  <c:v>5.81</c:v>
                </c:pt>
                <c:pt idx="6">
                  <c:v>6.29</c:v>
                </c:pt>
                <c:pt idx="7">
                  <c:v>5.5</c:v>
                </c:pt>
                <c:pt idx="8">
                  <c:v>5.73</c:v>
                </c:pt>
                <c:pt idx="9">
                  <c:v>5.54</c:v>
                </c:pt>
                <c:pt idx="10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96-4D34-9FA6-FB46578833AE}"/>
            </c:ext>
          </c:extLst>
        </c:ser>
        <c:ser>
          <c:idx val="2"/>
          <c:order val="3"/>
          <c:tx>
            <c:v>5 kA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5 kA</c:name>
            <c:spPr>
              <a:ln w="25400">
                <a:solidFill>
                  <a:schemeClr val="tx1"/>
                </a:solidFill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Hoja1!$D$145:$D$155</c:f>
            </c:numRef>
          </c:xVal>
          <c:yVal>
            <c:numRef>
              <c:f>Hoja1!$H$145:$H$155</c:f>
              <c:numCache>
                <c:formatCode>General</c:formatCode>
                <c:ptCount val="11"/>
                <c:pt idx="0">
                  <c:v>6.13</c:v>
                </c:pt>
                <c:pt idx="1">
                  <c:v>6.18</c:v>
                </c:pt>
                <c:pt idx="2">
                  <c:v>6.36</c:v>
                </c:pt>
                <c:pt idx="3">
                  <c:v>6.12</c:v>
                </c:pt>
                <c:pt idx="4">
                  <c:v>6.3</c:v>
                </c:pt>
                <c:pt idx="5">
                  <c:v>5.89</c:v>
                </c:pt>
                <c:pt idx="6">
                  <c:v>5.93</c:v>
                </c:pt>
                <c:pt idx="7">
                  <c:v>5.93</c:v>
                </c:pt>
                <c:pt idx="8">
                  <c:v>5.57</c:v>
                </c:pt>
                <c:pt idx="9">
                  <c:v>5.13</c:v>
                </c:pt>
                <c:pt idx="10">
                  <c:v>4.4400000000000004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996-4D34-9FA6-FB46578833AE}"/>
            </c:ext>
          </c:extLst>
        </c:ser>
        <c:ser>
          <c:idx val="3"/>
          <c:order val="4"/>
          <c:tx>
            <c:v>4.5 kA</c:v>
          </c:tx>
          <c:spPr>
            <a:ln w="19050">
              <a:noFill/>
            </a:ln>
          </c:spPr>
          <c:marker>
            <c:symbol val="diamond"/>
            <c:size val="7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name>4.5 kA</c:name>
            <c:spPr>
              <a:ln w="25400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Hoja1!$D$156:$D$166</c:f>
            </c:numRef>
          </c:xVal>
          <c:yVal>
            <c:numRef>
              <c:f>Hoja1!$H$156:$H$166</c:f>
              <c:numCache>
                <c:formatCode>General</c:formatCode>
                <c:ptCount val="11"/>
                <c:pt idx="0">
                  <c:v>5.93</c:v>
                </c:pt>
                <c:pt idx="1">
                  <c:v>5.69</c:v>
                </c:pt>
                <c:pt idx="2">
                  <c:v>5.6</c:v>
                </c:pt>
                <c:pt idx="3">
                  <c:v>5.4</c:v>
                </c:pt>
                <c:pt idx="4">
                  <c:v>5.81</c:v>
                </c:pt>
                <c:pt idx="5">
                  <c:v>6</c:v>
                </c:pt>
                <c:pt idx="6">
                  <c:v>5.9</c:v>
                </c:pt>
                <c:pt idx="7">
                  <c:v>5.5</c:v>
                </c:pt>
                <c:pt idx="8">
                  <c:v>5.29</c:v>
                </c:pt>
                <c:pt idx="9">
                  <c:v>4.75</c:v>
                </c:pt>
                <c:pt idx="1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996-4D34-9FA6-FB46578833AE}"/>
            </c:ext>
          </c:extLst>
        </c:ser>
        <c:ser>
          <c:idx val="4"/>
          <c:order val="5"/>
          <c:tx>
            <c:v>4 kA</c:v>
          </c:tx>
          <c:spPr>
            <a:ln w="19050">
              <a:noFill/>
            </a:ln>
          </c:spPr>
          <c:marker>
            <c:symbol val="plus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4 kA</c:name>
            <c:spPr>
              <a:ln w="25400">
                <a:solidFill>
                  <a:schemeClr val="tx1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Hoja1!$D$167:$D$177</c:f>
            </c:numRef>
          </c:xVal>
          <c:yVal>
            <c:numRef>
              <c:f>Hoja1!$H$167:$H$177</c:f>
              <c:numCache>
                <c:formatCode>General</c:formatCode>
                <c:ptCount val="11"/>
                <c:pt idx="0">
                  <c:v>4.57</c:v>
                </c:pt>
                <c:pt idx="1">
                  <c:v>5.18</c:v>
                </c:pt>
                <c:pt idx="2">
                  <c:v>5</c:v>
                </c:pt>
                <c:pt idx="3">
                  <c:v>5.35</c:v>
                </c:pt>
                <c:pt idx="4">
                  <c:v>5.65</c:v>
                </c:pt>
                <c:pt idx="5">
                  <c:v>5.17</c:v>
                </c:pt>
                <c:pt idx="6">
                  <c:v>4.7300000000000004</c:v>
                </c:pt>
                <c:pt idx="7">
                  <c:v>4.97</c:v>
                </c:pt>
                <c:pt idx="8">
                  <c:v>4.68</c:v>
                </c:pt>
                <c:pt idx="9">
                  <c:v>4.3499999999999996</c:v>
                </c:pt>
                <c:pt idx="10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996-4D34-9FA6-FB46578833AE}"/>
            </c:ext>
          </c:extLst>
        </c:ser>
        <c:ser>
          <c:idx val="5"/>
          <c:order val="6"/>
          <c:tx>
            <c:v>3.5 kA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3.5 kA</c:name>
            <c:spPr>
              <a:ln w="25400">
                <a:solidFill>
                  <a:schemeClr val="tx1"/>
                </a:solidFill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Hoja1!$D$178:$D$188</c:f>
            </c:numRef>
          </c:xVal>
          <c:yVal>
            <c:numRef>
              <c:f>Hoja1!$H$178:$H$188</c:f>
              <c:numCache>
                <c:formatCode>General</c:formatCode>
                <c:ptCount val="11"/>
                <c:pt idx="0">
                  <c:v>4.63</c:v>
                </c:pt>
                <c:pt idx="1">
                  <c:v>4.5</c:v>
                </c:pt>
                <c:pt idx="2">
                  <c:v>4.09</c:v>
                </c:pt>
                <c:pt idx="3">
                  <c:v>4.9400000000000004</c:v>
                </c:pt>
                <c:pt idx="4">
                  <c:v>4.76</c:v>
                </c:pt>
                <c:pt idx="5">
                  <c:v>4.7699999999999996</c:v>
                </c:pt>
                <c:pt idx="6">
                  <c:v>4.75</c:v>
                </c:pt>
                <c:pt idx="7">
                  <c:v>4.2</c:v>
                </c:pt>
                <c:pt idx="8">
                  <c:v>4.21</c:v>
                </c:pt>
                <c:pt idx="9">
                  <c:v>3.98</c:v>
                </c:pt>
                <c:pt idx="10">
                  <c:v>3.52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996-4D34-9FA6-FB46578833AE}"/>
            </c:ext>
          </c:extLst>
        </c:ser>
        <c:ser>
          <c:idx val="6"/>
          <c:order val="7"/>
          <c:tx>
            <c:v>3 kA</c:v>
          </c:tx>
          <c:spPr>
            <a:ln w="19050">
              <a:noFill/>
            </a:ln>
          </c:spPr>
          <c:marker>
            <c:symbol val="triangle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3 kA</c:name>
            <c:spPr>
              <a:ln w="25400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Hoja1!$D$189:$D$199</c:f>
            </c:numRef>
          </c:xVal>
          <c:yVal>
            <c:numRef>
              <c:f>Hoja1!$H$189:$H$199</c:f>
              <c:numCache>
                <c:formatCode>General</c:formatCode>
                <c:ptCount val="11"/>
                <c:pt idx="0">
                  <c:v>4.0599999999999996</c:v>
                </c:pt>
                <c:pt idx="1">
                  <c:v>4.1399999999999997</c:v>
                </c:pt>
                <c:pt idx="2">
                  <c:v>3.67</c:v>
                </c:pt>
                <c:pt idx="3">
                  <c:v>3.52</c:v>
                </c:pt>
                <c:pt idx="4">
                  <c:v>4.24</c:v>
                </c:pt>
                <c:pt idx="5">
                  <c:v>4.22</c:v>
                </c:pt>
                <c:pt idx="6">
                  <c:v>3.76</c:v>
                </c:pt>
                <c:pt idx="7">
                  <c:v>3.82</c:v>
                </c:pt>
                <c:pt idx="8">
                  <c:v>3.74</c:v>
                </c:pt>
                <c:pt idx="9">
                  <c:v>3.26</c:v>
                </c:pt>
                <c:pt idx="10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996-4D34-9FA6-FB46578833AE}"/>
            </c:ext>
          </c:extLst>
        </c:ser>
        <c:ser>
          <c:idx val="8"/>
          <c:order val="8"/>
          <c:tx>
            <c:v>2.5 kA</c:v>
          </c:tx>
          <c:spPr>
            <a:ln w="19050">
              <a:noFill/>
            </a:ln>
          </c:spPr>
          <c:marker>
            <c:symbol val="square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2.5 kA</c:name>
            <c:spPr>
              <a:ln w="25400">
                <a:solidFill>
                  <a:schemeClr val="tx1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Hoja1!$D$211:$D$221</c:f>
            </c:numRef>
          </c:xVal>
          <c:yVal>
            <c:numRef>
              <c:f>Hoja1!$H$211:$H$221</c:f>
              <c:numCache>
                <c:formatCode>General</c:formatCode>
                <c:ptCount val="11"/>
                <c:pt idx="0">
                  <c:v>4.3600000000000003</c:v>
                </c:pt>
                <c:pt idx="1">
                  <c:v>3.42</c:v>
                </c:pt>
                <c:pt idx="2">
                  <c:v>3.19</c:v>
                </c:pt>
                <c:pt idx="3">
                  <c:v>3.69</c:v>
                </c:pt>
                <c:pt idx="4">
                  <c:v>3.19</c:v>
                </c:pt>
                <c:pt idx="5">
                  <c:v>3.21</c:v>
                </c:pt>
                <c:pt idx="6">
                  <c:v>3.2</c:v>
                </c:pt>
                <c:pt idx="7">
                  <c:v>3.26</c:v>
                </c:pt>
                <c:pt idx="8">
                  <c:v>2.92</c:v>
                </c:pt>
                <c:pt idx="9">
                  <c:v>2.95</c:v>
                </c:pt>
                <c:pt idx="10">
                  <c:v>2.71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996-4D34-9FA6-FB46578833AE}"/>
            </c:ext>
          </c:extLst>
        </c:ser>
        <c:ser>
          <c:idx val="10"/>
          <c:order val="9"/>
          <c:tx>
            <c:v>2 kA</c:v>
          </c:tx>
          <c:spPr>
            <a:ln w="25400"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2 kA</c:name>
            <c:spPr>
              <a:ln w="25400">
                <a:solidFill>
                  <a:schemeClr val="tx1"/>
                </a:solidFill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Hoja1!$D$200:$D$210</c:f>
            </c:numRef>
          </c:xVal>
          <c:yVal>
            <c:numRef>
              <c:f>Hoja1!$H$200:$H$210</c:f>
              <c:numCache>
                <c:formatCode>General</c:formatCode>
                <c:ptCount val="11"/>
                <c:pt idx="0">
                  <c:v>2.94</c:v>
                </c:pt>
                <c:pt idx="1">
                  <c:v>3.64</c:v>
                </c:pt>
                <c:pt idx="2">
                  <c:v>3.19</c:v>
                </c:pt>
                <c:pt idx="3">
                  <c:v>3.22</c:v>
                </c:pt>
                <c:pt idx="4">
                  <c:v>3.29</c:v>
                </c:pt>
                <c:pt idx="5">
                  <c:v>3.14</c:v>
                </c:pt>
                <c:pt idx="6">
                  <c:v>3.07</c:v>
                </c:pt>
                <c:pt idx="7">
                  <c:v>2.78</c:v>
                </c:pt>
                <c:pt idx="8">
                  <c:v>2.38</c:v>
                </c:pt>
                <c:pt idx="9">
                  <c:v>2.29</c:v>
                </c:pt>
                <c:pt idx="10">
                  <c:v>2.21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996-4D34-9FA6-FB46578833AE}"/>
            </c:ext>
          </c:extLst>
        </c:ser>
        <c:ser>
          <c:idx val="9"/>
          <c:order val="10"/>
          <c:tx>
            <c:v>1.5 KA</c:v>
          </c:tx>
          <c:spPr>
            <a:ln w="19050">
              <a:noFill/>
            </a:ln>
          </c:spPr>
          <c:marker>
            <c:symbol val="diamond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trendline>
            <c:name>1.5 kA</c:name>
            <c:spPr>
              <a:ln w="25400" cmpd="sng">
                <a:solidFill>
                  <a:schemeClr val="tx1"/>
                </a:solidFill>
                <a:prstDash val="sysDot"/>
              </a:ln>
            </c:spPr>
            <c:trendlineType val="poly"/>
            <c:order val="2"/>
            <c:dispRSqr val="0"/>
            <c:dispEq val="0"/>
          </c:trendline>
          <c:xVal>
            <c:numRef>
              <c:f>Hoja1!$D$222:$D$232</c:f>
            </c:numRef>
          </c:xVal>
          <c:yVal>
            <c:numRef>
              <c:f>Hoja1!$H$222:$H$232</c:f>
              <c:numCache>
                <c:formatCode>General</c:formatCode>
                <c:ptCount val="11"/>
                <c:pt idx="0">
                  <c:v>1.89</c:v>
                </c:pt>
                <c:pt idx="1">
                  <c:v>1.85</c:v>
                </c:pt>
                <c:pt idx="2">
                  <c:v>1.88</c:v>
                </c:pt>
                <c:pt idx="3">
                  <c:v>1.86</c:v>
                </c:pt>
                <c:pt idx="4">
                  <c:v>1.85</c:v>
                </c:pt>
                <c:pt idx="5">
                  <c:v>1.83</c:v>
                </c:pt>
                <c:pt idx="6">
                  <c:v>1.82</c:v>
                </c:pt>
                <c:pt idx="7">
                  <c:v>1.68</c:v>
                </c:pt>
                <c:pt idx="8">
                  <c:v>1.61</c:v>
                </c:pt>
                <c:pt idx="9">
                  <c:v>1.38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996-4D34-9FA6-FB465788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75296"/>
        <c:axId val="68775872"/>
      </c:scatterChart>
      <c:valAx>
        <c:axId val="68775296"/>
        <c:scaling>
          <c:orientation val="minMax"/>
          <c:max val="12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 sz="1200">
                    <a:latin typeface="Times New Roman" pitchFamily="18" charset="0"/>
                    <a:cs typeface="Times New Roman" pitchFamily="18" charset="0"/>
                  </a:rPr>
                  <a:t>WT</a:t>
                </a:r>
                <a:r>
                  <a:rPr lang="es-ES" sz="1200" baseline="0">
                    <a:latin typeface="Times New Roman" pitchFamily="18" charset="0"/>
                    <a:cs typeface="Times New Roman" pitchFamily="18" charset="0"/>
                  </a:rPr>
                  <a:t> (cycles)</a:t>
                </a:r>
                <a:endParaRPr lang="es-ES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s-ES"/>
          </a:p>
        </c:txPr>
        <c:crossAx val="68775872"/>
        <c:crosses val="autoZero"/>
        <c:crossBetween val="midCat"/>
      </c:valAx>
      <c:valAx>
        <c:axId val="687758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sz="1200" b="1" i="0" baseline="0">
                    <a:latin typeface="Times New Roman" pitchFamily="18" charset="0"/>
                    <a:cs typeface="Times New Roman" pitchFamily="18" charset="0"/>
                  </a:rPr>
                  <a:t>TSLBC (kN)</a:t>
                </a:r>
                <a:endParaRPr lang="es-ES" sz="1200" b="1" i="0" baseline="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ES"/>
          </a:p>
        </c:txPr>
        <c:crossAx val="68775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676275</xdr:colOff>
      <xdr:row>58</xdr:row>
      <xdr:rowOff>38100</xdr:rowOff>
    </xdr:from>
    <xdr:to>
      <xdr:col>24</xdr:col>
      <xdr:colOff>581025</xdr:colOff>
      <xdr:row>109</xdr:row>
      <xdr:rowOff>95250</xdr:rowOff>
    </xdr:to>
    <xdr:graphicFrame macro="">
      <xdr:nvGraphicFramePr>
        <xdr:cNvPr id="1137" name="1 Gráfico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733425</xdr:colOff>
      <xdr:row>114</xdr:row>
      <xdr:rowOff>38100</xdr:rowOff>
    </xdr:from>
    <xdr:to>
      <xdr:col>24</xdr:col>
      <xdr:colOff>638175</xdr:colOff>
      <xdr:row>165</xdr:row>
      <xdr:rowOff>85725</xdr:rowOff>
    </xdr:to>
    <xdr:graphicFrame macro="">
      <xdr:nvGraphicFramePr>
        <xdr:cNvPr id="1138" name="2 Gráfico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43"/>
  <sheetViews>
    <sheetView tabSelected="1" topLeftCell="A76" zoomScaleNormal="100" workbookViewId="0">
      <selection activeCell="J87" sqref="J87"/>
    </sheetView>
  </sheetViews>
  <sheetFormatPr baseColWidth="10" defaultRowHeight="14.5" x14ac:dyDescent="0.35"/>
  <cols>
    <col min="3" max="3" width="18.1796875" style="3" customWidth="1"/>
    <col min="4" max="4" width="15.7265625" style="2" hidden="1" customWidth="1"/>
    <col min="5" max="5" width="15.7265625" style="2" customWidth="1"/>
    <col min="6" max="9" width="11.453125" style="2"/>
  </cols>
  <sheetData>
    <row r="1" spans="3:11" x14ac:dyDescent="0.35"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</row>
    <row r="2" spans="3:11" x14ac:dyDescent="0.35">
      <c r="C2" s="1">
        <v>1</v>
      </c>
      <c r="D2" s="2">
        <v>12</v>
      </c>
      <c r="E2" s="2">
        <f t="shared" ref="E2:E65" si="0">D2/50</f>
        <v>0.24</v>
      </c>
      <c r="F2" s="2">
        <v>6.16</v>
      </c>
      <c r="G2" s="2">
        <v>1500</v>
      </c>
      <c r="H2" s="2">
        <v>6.23</v>
      </c>
      <c r="I2" s="2">
        <f t="shared" ref="I2:I65" si="1">IF(H2&lt;5.93,0,1)</f>
        <v>1</v>
      </c>
      <c r="K2" t="s">
        <v>2</v>
      </c>
    </row>
    <row r="3" spans="3:11" x14ac:dyDescent="0.35">
      <c r="C3" s="1">
        <v>2</v>
      </c>
      <c r="D3" s="2">
        <v>11</v>
      </c>
      <c r="E3" s="2">
        <f t="shared" si="0"/>
        <v>0.22</v>
      </c>
      <c r="F3" s="2">
        <v>6.16</v>
      </c>
      <c r="G3" s="2">
        <v>1500</v>
      </c>
      <c r="H3" s="2">
        <v>6.93</v>
      </c>
      <c r="I3" s="2">
        <f t="shared" si="1"/>
        <v>1</v>
      </c>
    </row>
    <row r="4" spans="3:11" x14ac:dyDescent="0.35">
      <c r="C4" s="1">
        <v>3</v>
      </c>
      <c r="D4" s="2">
        <v>10</v>
      </c>
      <c r="E4" s="2">
        <f t="shared" si="0"/>
        <v>0.2</v>
      </c>
      <c r="F4" s="2">
        <v>6.16</v>
      </c>
      <c r="G4" s="2">
        <v>1500</v>
      </c>
      <c r="H4" s="2">
        <v>6.76</v>
      </c>
      <c r="I4" s="2">
        <f t="shared" si="1"/>
        <v>1</v>
      </c>
    </row>
    <row r="5" spans="3:11" x14ac:dyDescent="0.35">
      <c r="C5" s="1">
        <v>4</v>
      </c>
      <c r="D5" s="2">
        <v>9</v>
      </c>
      <c r="E5" s="2">
        <f t="shared" si="0"/>
        <v>0.18</v>
      </c>
      <c r="F5" s="2">
        <v>6.16</v>
      </c>
      <c r="G5" s="2">
        <v>1500</v>
      </c>
      <c r="H5" s="2">
        <v>6.77</v>
      </c>
      <c r="I5" s="2">
        <f t="shared" si="1"/>
        <v>1</v>
      </c>
    </row>
    <row r="6" spans="3:11" x14ac:dyDescent="0.35">
      <c r="C6" s="1">
        <v>5</v>
      </c>
      <c r="D6" s="2">
        <v>8</v>
      </c>
      <c r="E6" s="2">
        <f t="shared" si="0"/>
        <v>0.16</v>
      </c>
      <c r="F6" s="2">
        <v>6.03</v>
      </c>
      <c r="G6" s="2">
        <v>1500</v>
      </c>
      <c r="H6" s="2">
        <v>6.29</v>
      </c>
      <c r="I6" s="2">
        <f t="shared" si="1"/>
        <v>1</v>
      </c>
    </row>
    <row r="7" spans="3:11" x14ac:dyDescent="0.35">
      <c r="C7" s="1">
        <v>6</v>
      </c>
      <c r="D7" s="2">
        <v>7</v>
      </c>
      <c r="E7" s="2">
        <f t="shared" si="0"/>
        <v>0.14000000000000001</v>
      </c>
      <c r="F7" s="2">
        <v>6.16</v>
      </c>
      <c r="G7" s="2">
        <v>1500</v>
      </c>
      <c r="H7" s="2">
        <v>6.92</v>
      </c>
      <c r="I7" s="2">
        <f t="shared" si="1"/>
        <v>1</v>
      </c>
    </row>
    <row r="8" spans="3:11" x14ac:dyDescent="0.35">
      <c r="C8" s="1">
        <v>7</v>
      </c>
      <c r="D8" s="2">
        <v>6</v>
      </c>
      <c r="E8" s="2">
        <f t="shared" si="0"/>
        <v>0.12</v>
      </c>
      <c r="F8" s="2">
        <v>6.03</v>
      </c>
      <c r="G8" s="2">
        <v>1500</v>
      </c>
      <c r="H8" s="2">
        <v>6.48</v>
      </c>
      <c r="I8" s="2">
        <f t="shared" si="1"/>
        <v>1</v>
      </c>
    </row>
    <row r="9" spans="3:11" x14ac:dyDescent="0.35">
      <c r="C9" s="1">
        <v>8</v>
      </c>
      <c r="D9" s="2">
        <v>5</v>
      </c>
      <c r="E9" s="2">
        <f t="shared" si="0"/>
        <v>0.1</v>
      </c>
      <c r="F9" s="2">
        <v>6.03</v>
      </c>
      <c r="G9" s="2">
        <v>1500</v>
      </c>
      <c r="H9" s="2">
        <v>5.79</v>
      </c>
      <c r="I9" s="2">
        <f t="shared" si="1"/>
        <v>0</v>
      </c>
    </row>
    <row r="10" spans="3:11" x14ac:dyDescent="0.35">
      <c r="C10" s="1">
        <v>9</v>
      </c>
      <c r="D10" s="2">
        <v>4</v>
      </c>
      <c r="E10" s="2">
        <f t="shared" si="0"/>
        <v>0.08</v>
      </c>
      <c r="F10" s="2">
        <v>6.03</v>
      </c>
      <c r="G10" s="2">
        <v>1500</v>
      </c>
      <c r="H10" s="2">
        <v>6.05</v>
      </c>
      <c r="I10" s="2">
        <f t="shared" si="1"/>
        <v>1</v>
      </c>
    </row>
    <row r="11" spans="3:11" x14ac:dyDescent="0.35">
      <c r="C11" s="1">
        <v>10</v>
      </c>
      <c r="D11" s="2">
        <v>3</v>
      </c>
      <c r="E11" s="2">
        <f t="shared" si="0"/>
        <v>0.06</v>
      </c>
      <c r="F11" s="2">
        <v>6.16</v>
      </c>
      <c r="G11" s="2">
        <v>1500</v>
      </c>
      <c r="H11" s="2">
        <v>5.86</v>
      </c>
      <c r="I11" s="2">
        <f t="shared" si="1"/>
        <v>0</v>
      </c>
    </row>
    <row r="12" spans="3:11" x14ac:dyDescent="0.35">
      <c r="C12" s="1">
        <v>11</v>
      </c>
      <c r="D12" s="2">
        <v>2</v>
      </c>
      <c r="E12" s="2">
        <f t="shared" si="0"/>
        <v>0.04</v>
      </c>
      <c r="F12" s="2">
        <v>6.03</v>
      </c>
      <c r="G12" s="2">
        <v>1500</v>
      </c>
      <c r="H12" s="2">
        <v>5.01</v>
      </c>
      <c r="I12" s="2">
        <f t="shared" si="1"/>
        <v>0</v>
      </c>
    </row>
    <row r="13" spans="3:11" x14ac:dyDescent="0.35">
      <c r="C13" s="1">
        <v>12</v>
      </c>
      <c r="D13" s="2">
        <v>12</v>
      </c>
      <c r="E13" s="2">
        <f t="shared" si="0"/>
        <v>0.24</v>
      </c>
      <c r="F13" s="2">
        <v>5.64</v>
      </c>
      <c r="G13" s="2">
        <v>1500</v>
      </c>
      <c r="H13" s="2">
        <v>6.31</v>
      </c>
      <c r="I13" s="2">
        <f t="shared" si="1"/>
        <v>1</v>
      </c>
    </row>
    <row r="14" spans="3:11" x14ac:dyDescent="0.35">
      <c r="C14" s="1">
        <v>13</v>
      </c>
      <c r="D14" s="2">
        <v>11</v>
      </c>
      <c r="E14" s="2">
        <f t="shared" si="0"/>
        <v>0.22</v>
      </c>
      <c r="F14" s="2">
        <v>5.51</v>
      </c>
      <c r="G14" s="2">
        <v>1500</v>
      </c>
      <c r="H14" s="2">
        <v>6.44</v>
      </c>
      <c r="I14" s="2">
        <f t="shared" si="1"/>
        <v>1</v>
      </c>
    </row>
    <row r="15" spans="3:11" x14ac:dyDescent="0.35">
      <c r="C15" s="1">
        <v>14</v>
      </c>
      <c r="D15" s="2">
        <v>10</v>
      </c>
      <c r="E15" s="2">
        <f t="shared" si="0"/>
        <v>0.2</v>
      </c>
      <c r="F15" s="2">
        <v>5.51</v>
      </c>
      <c r="G15" s="2">
        <v>1500</v>
      </c>
      <c r="H15" s="2">
        <v>6.33</v>
      </c>
      <c r="I15" s="2">
        <f t="shared" si="1"/>
        <v>1</v>
      </c>
    </row>
    <row r="16" spans="3:11" x14ac:dyDescent="0.35">
      <c r="C16" s="1">
        <v>15</v>
      </c>
      <c r="D16" s="2">
        <v>9</v>
      </c>
      <c r="E16" s="2">
        <f t="shared" si="0"/>
        <v>0.18</v>
      </c>
      <c r="F16" s="2">
        <v>5.51</v>
      </c>
      <c r="G16" s="2">
        <v>1500</v>
      </c>
      <c r="H16" s="2">
        <v>6.5</v>
      </c>
      <c r="I16" s="2">
        <f t="shared" si="1"/>
        <v>1</v>
      </c>
    </row>
    <row r="17" spans="3:9" x14ac:dyDescent="0.35">
      <c r="C17" s="1">
        <v>16</v>
      </c>
      <c r="D17" s="2">
        <v>8</v>
      </c>
      <c r="E17" s="2">
        <f t="shared" si="0"/>
        <v>0.16</v>
      </c>
      <c r="F17" s="2">
        <v>5.51</v>
      </c>
      <c r="G17" s="2">
        <v>1500</v>
      </c>
      <c r="H17" s="2">
        <v>6.66</v>
      </c>
      <c r="I17" s="2">
        <f t="shared" si="1"/>
        <v>1</v>
      </c>
    </row>
    <row r="18" spans="3:9" x14ac:dyDescent="0.35">
      <c r="C18" s="1">
        <v>17</v>
      </c>
      <c r="D18" s="2">
        <v>7</v>
      </c>
      <c r="E18" s="2">
        <f t="shared" si="0"/>
        <v>0.14000000000000001</v>
      </c>
      <c r="F18" s="2">
        <v>5.51</v>
      </c>
      <c r="G18" s="2">
        <v>1500</v>
      </c>
      <c r="H18" s="2">
        <v>6.36</v>
      </c>
      <c r="I18" s="2">
        <f t="shared" si="1"/>
        <v>1</v>
      </c>
    </row>
    <row r="19" spans="3:9" x14ac:dyDescent="0.35">
      <c r="C19" s="1">
        <v>18</v>
      </c>
      <c r="D19" s="2">
        <v>6</v>
      </c>
      <c r="E19" s="2">
        <f t="shared" si="0"/>
        <v>0.12</v>
      </c>
      <c r="F19" s="2">
        <v>5.64</v>
      </c>
      <c r="G19" s="2">
        <v>1500</v>
      </c>
      <c r="H19" s="2">
        <v>6</v>
      </c>
      <c r="I19" s="2">
        <f t="shared" si="1"/>
        <v>1</v>
      </c>
    </row>
    <row r="20" spans="3:9" x14ac:dyDescent="0.35">
      <c r="C20" s="1">
        <v>19</v>
      </c>
      <c r="D20" s="2">
        <v>5</v>
      </c>
      <c r="E20" s="2">
        <f t="shared" si="0"/>
        <v>0.1</v>
      </c>
      <c r="F20" s="2">
        <v>5.64</v>
      </c>
      <c r="G20" s="2">
        <v>1500</v>
      </c>
      <c r="H20" s="2">
        <v>6.18</v>
      </c>
      <c r="I20" s="2">
        <f t="shared" si="1"/>
        <v>1</v>
      </c>
    </row>
    <row r="21" spans="3:9" x14ac:dyDescent="0.35">
      <c r="C21" s="6">
        <v>20</v>
      </c>
      <c r="D21" s="7">
        <v>4</v>
      </c>
      <c r="E21" s="7">
        <f t="shared" si="0"/>
        <v>0.08</v>
      </c>
      <c r="F21" s="7">
        <v>5.51</v>
      </c>
      <c r="G21" s="7">
        <v>1500</v>
      </c>
      <c r="H21" s="7">
        <v>5.61</v>
      </c>
      <c r="I21" s="7">
        <f t="shared" si="1"/>
        <v>0</v>
      </c>
    </row>
    <row r="22" spans="3:9" x14ac:dyDescent="0.35">
      <c r="C22" s="4">
        <v>21</v>
      </c>
      <c r="D22" s="5">
        <v>3</v>
      </c>
      <c r="E22" s="5">
        <f t="shared" si="0"/>
        <v>0.06</v>
      </c>
      <c r="F22" s="5">
        <v>5.51</v>
      </c>
      <c r="G22" s="5">
        <v>1500</v>
      </c>
      <c r="H22" s="5">
        <v>5.5</v>
      </c>
      <c r="I22" s="5">
        <f t="shared" si="1"/>
        <v>0</v>
      </c>
    </row>
    <row r="23" spans="3:9" x14ac:dyDescent="0.35">
      <c r="C23" s="1">
        <v>22</v>
      </c>
      <c r="D23" s="2">
        <v>2</v>
      </c>
      <c r="E23" s="2">
        <f t="shared" si="0"/>
        <v>0.04</v>
      </c>
      <c r="F23" s="2">
        <v>5.375</v>
      </c>
      <c r="G23" s="2">
        <v>1500</v>
      </c>
      <c r="H23" s="2">
        <v>5.05</v>
      </c>
      <c r="I23" s="2">
        <f t="shared" si="1"/>
        <v>0</v>
      </c>
    </row>
    <row r="24" spans="3:9" x14ac:dyDescent="0.35">
      <c r="C24" s="1">
        <v>23</v>
      </c>
      <c r="D24" s="2">
        <v>12</v>
      </c>
      <c r="E24" s="2">
        <f t="shared" si="0"/>
        <v>0.24</v>
      </c>
      <c r="F24" s="2">
        <v>5.1100000000000003</v>
      </c>
      <c r="G24" s="2">
        <v>1500</v>
      </c>
      <c r="H24" s="2">
        <v>6.34</v>
      </c>
      <c r="I24" s="2">
        <f t="shared" si="1"/>
        <v>1</v>
      </c>
    </row>
    <row r="25" spans="3:9" x14ac:dyDescent="0.35">
      <c r="C25" s="1">
        <v>24</v>
      </c>
      <c r="D25" s="2">
        <v>11</v>
      </c>
      <c r="E25" s="2">
        <f t="shared" si="0"/>
        <v>0.22</v>
      </c>
      <c r="F25" s="2">
        <v>5.1100000000000003</v>
      </c>
      <c r="G25" s="2">
        <v>1500</v>
      </c>
      <c r="H25" s="2">
        <v>6.23</v>
      </c>
      <c r="I25" s="2">
        <f t="shared" si="1"/>
        <v>1</v>
      </c>
    </row>
    <row r="26" spans="3:9" x14ac:dyDescent="0.35">
      <c r="C26" s="1">
        <v>25</v>
      </c>
      <c r="D26" s="2">
        <v>10</v>
      </c>
      <c r="E26" s="2">
        <f t="shared" si="0"/>
        <v>0.2</v>
      </c>
      <c r="F26" s="2">
        <v>4.9800000000000004</v>
      </c>
      <c r="G26" s="2">
        <v>1500</v>
      </c>
      <c r="H26" s="2">
        <v>6.37</v>
      </c>
      <c r="I26" s="2">
        <f t="shared" si="1"/>
        <v>1</v>
      </c>
    </row>
    <row r="27" spans="3:9" x14ac:dyDescent="0.35">
      <c r="C27" s="1">
        <v>26</v>
      </c>
      <c r="D27" s="2">
        <v>9</v>
      </c>
      <c r="E27" s="2">
        <f t="shared" si="0"/>
        <v>0.18</v>
      </c>
      <c r="F27" s="2">
        <v>4.9800000000000004</v>
      </c>
      <c r="G27" s="2">
        <v>1500</v>
      </c>
      <c r="H27" s="2">
        <v>6.33</v>
      </c>
      <c r="I27" s="2">
        <f t="shared" si="1"/>
        <v>1</v>
      </c>
    </row>
    <row r="28" spans="3:9" x14ac:dyDescent="0.35">
      <c r="C28" s="1">
        <v>27</v>
      </c>
      <c r="D28" s="2">
        <v>8</v>
      </c>
      <c r="E28" s="2">
        <f t="shared" si="0"/>
        <v>0.16</v>
      </c>
      <c r="F28" s="2">
        <v>4.9800000000000004</v>
      </c>
      <c r="G28" s="2">
        <v>1500</v>
      </c>
      <c r="H28" s="2">
        <v>6.21</v>
      </c>
      <c r="I28" s="2">
        <f t="shared" si="1"/>
        <v>1</v>
      </c>
    </row>
    <row r="29" spans="3:9" x14ac:dyDescent="0.35">
      <c r="C29" s="1">
        <v>28</v>
      </c>
      <c r="D29" s="2">
        <v>7</v>
      </c>
      <c r="E29" s="2">
        <f t="shared" si="0"/>
        <v>0.14000000000000001</v>
      </c>
      <c r="F29" s="2">
        <v>4.9800000000000004</v>
      </c>
      <c r="G29" s="2">
        <v>1500</v>
      </c>
      <c r="H29" s="2">
        <v>5.93</v>
      </c>
      <c r="I29" s="2">
        <f t="shared" si="1"/>
        <v>1</v>
      </c>
    </row>
    <row r="30" spans="3:9" x14ac:dyDescent="0.35">
      <c r="C30" s="1">
        <v>29</v>
      </c>
      <c r="D30" s="2">
        <v>6</v>
      </c>
      <c r="E30" s="2">
        <f t="shared" si="0"/>
        <v>0.12</v>
      </c>
      <c r="F30" s="2">
        <v>4.9800000000000004</v>
      </c>
      <c r="G30" s="2">
        <v>1500</v>
      </c>
      <c r="H30" s="2">
        <v>6.11</v>
      </c>
      <c r="I30" s="2">
        <f t="shared" si="1"/>
        <v>1</v>
      </c>
    </row>
    <row r="31" spans="3:9" x14ac:dyDescent="0.35">
      <c r="C31" s="1">
        <v>30</v>
      </c>
      <c r="D31" s="2">
        <v>5</v>
      </c>
      <c r="E31" s="2">
        <f t="shared" si="0"/>
        <v>0.1</v>
      </c>
      <c r="F31" s="2">
        <v>4.9800000000000004</v>
      </c>
      <c r="G31" s="2">
        <v>1500</v>
      </c>
      <c r="H31" s="2">
        <v>5.75</v>
      </c>
      <c r="I31" s="2">
        <f t="shared" si="1"/>
        <v>0</v>
      </c>
    </row>
    <row r="32" spans="3:9" x14ac:dyDescent="0.35">
      <c r="C32" s="1">
        <v>31</v>
      </c>
      <c r="D32" s="2">
        <v>4</v>
      </c>
      <c r="E32" s="2">
        <f t="shared" si="0"/>
        <v>0.08</v>
      </c>
      <c r="F32" s="2">
        <v>4.9800000000000004</v>
      </c>
      <c r="G32" s="2">
        <v>1500</v>
      </c>
      <c r="H32" s="2">
        <v>5.6</v>
      </c>
      <c r="I32" s="2">
        <f t="shared" si="1"/>
        <v>0</v>
      </c>
    </row>
    <row r="33" spans="3:9" x14ac:dyDescent="0.35">
      <c r="C33" s="1">
        <v>32</v>
      </c>
      <c r="D33" s="2">
        <v>3</v>
      </c>
      <c r="E33" s="2">
        <f t="shared" si="0"/>
        <v>0.06</v>
      </c>
      <c r="F33" s="2">
        <v>5.1100000000000003</v>
      </c>
      <c r="G33" s="2">
        <v>1500</v>
      </c>
      <c r="H33" s="2">
        <v>5.12</v>
      </c>
      <c r="I33" s="2">
        <f t="shared" si="1"/>
        <v>0</v>
      </c>
    </row>
    <row r="34" spans="3:9" x14ac:dyDescent="0.35">
      <c r="C34" s="1">
        <v>33</v>
      </c>
      <c r="D34" s="2">
        <v>2</v>
      </c>
      <c r="E34" s="2">
        <f t="shared" si="0"/>
        <v>0.04</v>
      </c>
      <c r="F34" s="2">
        <v>5.1100000000000003</v>
      </c>
      <c r="G34" s="2">
        <v>1500</v>
      </c>
      <c r="H34" s="2">
        <v>4.51</v>
      </c>
      <c r="I34" s="2">
        <f t="shared" si="1"/>
        <v>0</v>
      </c>
    </row>
    <row r="35" spans="3:9" x14ac:dyDescent="0.35">
      <c r="C35" s="1">
        <v>34</v>
      </c>
      <c r="D35" s="2">
        <v>12</v>
      </c>
      <c r="E35" s="2">
        <f t="shared" si="0"/>
        <v>0.24</v>
      </c>
      <c r="F35" s="2">
        <v>4.46</v>
      </c>
      <c r="G35" s="2">
        <v>1500</v>
      </c>
      <c r="H35" s="2">
        <v>6.19</v>
      </c>
      <c r="I35" s="2">
        <f t="shared" si="1"/>
        <v>1</v>
      </c>
    </row>
    <row r="36" spans="3:9" x14ac:dyDescent="0.35">
      <c r="C36" s="1">
        <v>35</v>
      </c>
      <c r="D36" s="2">
        <v>11</v>
      </c>
      <c r="E36" s="2">
        <f t="shared" si="0"/>
        <v>0.22</v>
      </c>
      <c r="F36" s="2">
        <v>4.46</v>
      </c>
      <c r="G36" s="2">
        <v>1500</v>
      </c>
      <c r="H36" s="2">
        <v>6.25</v>
      </c>
      <c r="I36" s="2">
        <f t="shared" si="1"/>
        <v>1</v>
      </c>
    </row>
    <row r="37" spans="3:9" x14ac:dyDescent="0.35">
      <c r="C37" s="1">
        <v>36</v>
      </c>
      <c r="D37" s="2">
        <v>10</v>
      </c>
      <c r="E37" s="2">
        <f t="shared" si="0"/>
        <v>0.2</v>
      </c>
      <c r="F37" s="2">
        <v>4.46</v>
      </c>
      <c r="G37" s="2">
        <v>1500</v>
      </c>
      <c r="H37" s="2">
        <v>6.24</v>
      </c>
      <c r="I37" s="2">
        <f t="shared" si="1"/>
        <v>1</v>
      </c>
    </row>
    <row r="38" spans="3:9" x14ac:dyDescent="0.35">
      <c r="C38" s="1">
        <v>37</v>
      </c>
      <c r="D38" s="2">
        <v>9</v>
      </c>
      <c r="E38" s="2">
        <f t="shared" si="0"/>
        <v>0.18</v>
      </c>
      <c r="F38" s="2">
        <v>4.59</v>
      </c>
      <c r="G38" s="2">
        <v>1500</v>
      </c>
      <c r="H38" s="2">
        <v>5.66</v>
      </c>
      <c r="I38" s="2">
        <f t="shared" si="1"/>
        <v>0</v>
      </c>
    </row>
    <row r="39" spans="3:9" x14ac:dyDescent="0.35">
      <c r="C39" s="1">
        <v>38</v>
      </c>
      <c r="D39" s="2">
        <v>8</v>
      </c>
      <c r="E39" s="2">
        <f t="shared" si="0"/>
        <v>0.16</v>
      </c>
      <c r="F39" s="2">
        <v>4.46</v>
      </c>
      <c r="G39" s="2">
        <v>1500</v>
      </c>
      <c r="H39" s="2">
        <v>5.8</v>
      </c>
      <c r="I39" s="2">
        <f t="shared" si="1"/>
        <v>0</v>
      </c>
    </row>
    <row r="40" spans="3:9" x14ac:dyDescent="0.35">
      <c r="C40" s="1">
        <v>39</v>
      </c>
      <c r="D40" s="2">
        <v>7</v>
      </c>
      <c r="E40" s="2">
        <f t="shared" si="0"/>
        <v>0.14000000000000001</v>
      </c>
      <c r="F40" s="2">
        <v>4.59</v>
      </c>
      <c r="G40" s="2">
        <v>1500</v>
      </c>
      <c r="H40" s="2">
        <v>5.93</v>
      </c>
      <c r="I40" s="2">
        <f t="shared" si="1"/>
        <v>1</v>
      </c>
    </row>
    <row r="41" spans="3:9" x14ac:dyDescent="0.35">
      <c r="C41" s="1">
        <v>40</v>
      </c>
      <c r="D41" s="2">
        <v>6</v>
      </c>
      <c r="E41" s="2">
        <f t="shared" si="0"/>
        <v>0.12</v>
      </c>
      <c r="F41" s="2">
        <v>4.46</v>
      </c>
      <c r="G41" s="2">
        <v>1500</v>
      </c>
      <c r="H41" s="2">
        <v>5.66</v>
      </c>
      <c r="I41" s="2">
        <f t="shared" si="1"/>
        <v>0</v>
      </c>
    </row>
    <row r="42" spans="3:9" x14ac:dyDescent="0.35">
      <c r="C42" s="1">
        <v>41</v>
      </c>
      <c r="D42" s="2">
        <v>5</v>
      </c>
      <c r="E42" s="2">
        <f t="shared" si="0"/>
        <v>0.1</v>
      </c>
      <c r="F42" s="2">
        <v>4.59</v>
      </c>
      <c r="G42" s="2">
        <v>1500</v>
      </c>
      <c r="H42" s="2">
        <v>5.33</v>
      </c>
      <c r="I42" s="2">
        <f t="shared" si="1"/>
        <v>0</v>
      </c>
    </row>
    <row r="43" spans="3:9" x14ac:dyDescent="0.35">
      <c r="C43" s="1">
        <v>42</v>
      </c>
      <c r="D43" s="2">
        <v>4</v>
      </c>
      <c r="E43" s="2">
        <f t="shared" si="0"/>
        <v>0.08</v>
      </c>
      <c r="F43" s="2">
        <v>4.59</v>
      </c>
      <c r="G43" s="2">
        <v>1500</v>
      </c>
      <c r="H43" s="2">
        <v>5.32</v>
      </c>
      <c r="I43" s="2">
        <f t="shared" si="1"/>
        <v>0</v>
      </c>
    </row>
    <row r="44" spans="3:9" x14ac:dyDescent="0.35">
      <c r="C44" s="1">
        <v>43</v>
      </c>
      <c r="D44" s="2">
        <v>3</v>
      </c>
      <c r="E44" s="2">
        <f t="shared" si="0"/>
        <v>0.06</v>
      </c>
      <c r="F44" s="2">
        <v>4.59</v>
      </c>
      <c r="G44" s="2">
        <v>1500</v>
      </c>
      <c r="H44" s="2">
        <v>4.8499999999999996</v>
      </c>
      <c r="I44" s="2">
        <f t="shared" si="1"/>
        <v>0</v>
      </c>
    </row>
    <row r="45" spans="3:9" x14ac:dyDescent="0.35">
      <c r="C45" s="1">
        <v>44</v>
      </c>
      <c r="D45" s="2">
        <v>2</v>
      </c>
      <c r="E45" s="2">
        <f t="shared" si="0"/>
        <v>0.04</v>
      </c>
      <c r="F45" s="2">
        <v>4.59</v>
      </c>
      <c r="G45" s="2">
        <v>1500</v>
      </c>
      <c r="H45" s="2">
        <v>4.05</v>
      </c>
      <c r="I45" s="2">
        <f t="shared" si="1"/>
        <v>0</v>
      </c>
    </row>
    <row r="46" spans="3:9" x14ac:dyDescent="0.35">
      <c r="C46" s="1">
        <v>45</v>
      </c>
      <c r="D46" s="2">
        <v>12</v>
      </c>
      <c r="E46" s="2">
        <f t="shared" si="0"/>
        <v>0.24</v>
      </c>
      <c r="F46" s="2">
        <v>4.0599999999999996</v>
      </c>
      <c r="G46" s="2">
        <v>1500</v>
      </c>
      <c r="H46" s="2">
        <v>5.51</v>
      </c>
      <c r="I46" s="2">
        <f t="shared" si="1"/>
        <v>0</v>
      </c>
    </row>
    <row r="47" spans="3:9" x14ac:dyDescent="0.35">
      <c r="C47" s="1">
        <v>46</v>
      </c>
      <c r="D47" s="2">
        <v>11</v>
      </c>
      <c r="E47" s="2">
        <f t="shared" si="0"/>
        <v>0.22</v>
      </c>
      <c r="F47" s="2">
        <v>4.0599999999999996</v>
      </c>
      <c r="G47" s="2">
        <v>1500</v>
      </c>
      <c r="H47" s="2">
        <v>5.48</v>
      </c>
      <c r="I47" s="2">
        <f t="shared" si="1"/>
        <v>0</v>
      </c>
    </row>
    <row r="48" spans="3:9" x14ac:dyDescent="0.35">
      <c r="C48" s="1">
        <v>47</v>
      </c>
      <c r="D48" s="2">
        <v>10</v>
      </c>
      <c r="E48" s="2">
        <f t="shared" si="0"/>
        <v>0.2</v>
      </c>
      <c r="F48" s="2">
        <v>3.93</v>
      </c>
      <c r="G48" s="2">
        <v>1500</v>
      </c>
      <c r="H48" s="2">
        <v>5.1100000000000003</v>
      </c>
      <c r="I48" s="2">
        <f t="shared" si="1"/>
        <v>0</v>
      </c>
    </row>
    <row r="49" spans="3:9" x14ac:dyDescent="0.35">
      <c r="C49" s="1">
        <v>48</v>
      </c>
      <c r="D49" s="2">
        <v>9</v>
      </c>
      <c r="E49" s="2">
        <f t="shared" si="0"/>
        <v>0.18</v>
      </c>
      <c r="F49" s="2">
        <v>3.93</v>
      </c>
      <c r="G49" s="2">
        <v>1500</v>
      </c>
      <c r="H49" s="2">
        <v>5.14</v>
      </c>
      <c r="I49" s="2">
        <f t="shared" si="1"/>
        <v>0</v>
      </c>
    </row>
    <row r="50" spans="3:9" x14ac:dyDescent="0.35">
      <c r="C50" s="1">
        <v>49</v>
      </c>
      <c r="D50" s="2">
        <v>8</v>
      </c>
      <c r="E50" s="2">
        <f t="shared" si="0"/>
        <v>0.16</v>
      </c>
      <c r="F50" s="2">
        <v>3.93</v>
      </c>
      <c r="G50" s="2">
        <v>1500</v>
      </c>
      <c r="H50" s="2">
        <v>5.36</v>
      </c>
      <c r="I50" s="2">
        <f t="shared" si="1"/>
        <v>0</v>
      </c>
    </row>
    <row r="51" spans="3:9" x14ac:dyDescent="0.35">
      <c r="C51" s="1">
        <v>50</v>
      </c>
      <c r="D51" s="2">
        <v>7</v>
      </c>
      <c r="E51" s="2">
        <f t="shared" si="0"/>
        <v>0.14000000000000001</v>
      </c>
      <c r="F51" s="2">
        <v>4.0599999999999996</v>
      </c>
      <c r="G51" s="2">
        <v>1500</v>
      </c>
      <c r="H51" s="2">
        <v>5.54</v>
      </c>
      <c r="I51" s="2">
        <f t="shared" si="1"/>
        <v>0</v>
      </c>
    </row>
    <row r="52" spans="3:9" x14ac:dyDescent="0.35">
      <c r="C52" s="1">
        <v>51</v>
      </c>
      <c r="D52" s="2">
        <v>6</v>
      </c>
      <c r="E52" s="2">
        <f t="shared" si="0"/>
        <v>0.12</v>
      </c>
      <c r="F52" s="2">
        <v>3.93</v>
      </c>
      <c r="G52" s="2">
        <v>1500</v>
      </c>
      <c r="H52" s="2">
        <v>5.0999999999999996</v>
      </c>
      <c r="I52" s="2">
        <f t="shared" si="1"/>
        <v>0</v>
      </c>
    </row>
    <row r="53" spans="3:9" x14ac:dyDescent="0.35">
      <c r="C53" s="1">
        <v>52</v>
      </c>
      <c r="D53" s="2">
        <v>5</v>
      </c>
      <c r="E53" s="2">
        <f t="shared" si="0"/>
        <v>0.1</v>
      </c>
      <c r="F53" s="2">
        <v>3.93</v>
      </c>
      <c r="G53" s="2">
        <v>1500</v>
      </c>
      <c r="H53" s="2">
        <v>4.8</v>
      </c>
      <c r="I53" s="2">
        <f t="shared" si="1"/>
        <v>0</v>
      </c>
    </row>
    <row r="54" spans="3:9" x14ac:dyDescent="0.35">
      <c r="C54" s="1">
        <v>53</v>
      </c>
      <c r="D54" s="2">
        <v>4</v>
      </c>
      <c r="E54" s="2">
        <f t="shared" si="0"/>
        <v>0.08</v>
      </c>
      <c r="F54" s="2">
        <v>4.0599999999999996</v>
      </c>
      <c r="G54" s="2">
        <v>1500</v>
      </c>
      <c r="H54" s="2">
        <v>4.93</v>
      </c>
      <c r="I54" s="2">
        <f t="shared" si="1"/>
        <v>0</v>
      </c>
    </row>
    <row r="55" spans="3:9" x14ac:dyDescent="0.35">
      <c r="C55" s="1">
        <v>54</v>
      </c>
      <c r="D55" s="2">
        <v>3</v>
      </c>
      <c r="E55" s="2">
        <f t="shared" si="0"/>
        <v>0.06</v>
      </c>
      <c r="F55" s="2">
        <v>4.0599999999999996</v>
      </c>
      <c r="G55" s="2">
        <v>1500</v>
      </c>
      <c r="H55" s="2">
        <v>4.0999999999999996</v>
      </c>
      <c r="I55" s="2">
        <f t="shared" si="1"/>
        <v>0</v>
      </c>
    </row>
    <row r="56" spans="3:9" x14ac:dyDescent="0.35">
      <c r="C56" s="1">
        <v>55</v>
      </c>
      <c r="D56" s="2">
        <v>2</v>
      </c>
      <c r="E56" s="2">
        <f t="shared" si="0"/>
        <v>0.04</v>
      </c>
      <c r="F56" s="2">
        <v>4.0599999999999996</v>
      </c>
      <c r="G56" s="2">
        <v>1500</v>
      </c>
      <c r="H56" s="2">
        <v>3.64</v>
      </c>
      <c r="I56" s="2">
        <f t="shared" si="1"/>
        <v>0</v>
      </c>
    </row>
    <row r="57" spans="3:9" x14ac:dyDescent="0.35">
      <c r="C57" s="1">
        <v>56</v>
      </c>
      <c r="D57" s="2">
        <v>12</v>
      </c>
      <c r="E57" s="2">
        <f t="shared" si="0"/>
        <v>0.24</v>
      </c>
      <c r="F57" s="2">
        <v>3.54</v>
      </c>
      <c r="G57" s="2">
        <v>1500</v>
      </c>
      <c r="H57" s="2">
        <v>4.53</v>
      </c>
      <c r="I57" s="2">
        <f t="shared" si="1"/>
        <v>0</v>
      </c>
    </row>
    <row r="58" spans="3:9" x14ac:dyDescent="0.35">
      <c r="C58" s="1">
        <v>57</v>
      </c>
      <c r="D58" s="2">
        <v>11</v>
      </c>
      <c r="E58" s="2">
        <f t="shared" si="0"/>
        <v>0.22</v>
      </c>
      <c r="F58" s="2">
        <v>3.41</v>
      </c>
      <c r="G58" s="2">
        <v>1500</v>
      </c>
      <c r="H58" s="2">
        <v>4.17</v>
      </c>
      <c r="I58" s="2">
        <f t="shared" si="1"/>
        <v>0</v>
      </c>
    </row>
    <row r="59" spans="3:9" x14ac:dyDescent="0.35">
      <c r="C59" s="1">
        <v>58</v>
      </c>
      <c r="D59" s="2">
        <v>10</v>
      </c>
      <c r="E59" s="2">
        <f t="shared" si="0"/>
        <v>0.2</v>
      </c>
      <c r="F59" s="2">
        <v>3.54</v>
      </c>
      <c r="G59" s="2">
        <v>1500</v>
      </c>
      <c r="H59" s="2">
        <v>4.12</v>
      </c>
      <c r="I59" s="2">
        <f t="shared" si="1"/>
        <v>0</v>
      </c>
    </row>
    <row r="60" spans="3:9" x14ac:dyDescent="0.35">
      <c r="C60" s="1">
        <v>59</v>
      </c>
      <c r="D60" s="2">
        <v>9</v>
      </c>
      <c r="E60" s="2">
        <f t="shared" si="0"/>
        <v>0.18</v>
      </c>
      <c r="F60" s="2">
        <v>3.54</v>
      </c>
      <c r="G60" s="2">
        <v>1500</v>
      </c>
      <c r="H60" s="2">
        <v>4.78</v>
      </c>
      <c r="I60" s="2">
        <f t="shared" si="1"/>
        <v>0</v>
      </c>
    </row>
    <row r="61" spans="3:9" x14ac:dyDescent="0.35">
      <c r="C61" s="1">
        <v>60</v>
      </c>
      <c r="D61" s="2">
        <v>8</v>
      </c>
      <c r="E61" s="2">
        <f t="shared" si="0"/>
        <v>0.16</v>
      </c>
      <c r="F61" s="2">
        <v>3.54</v>
      </c>
      <c r="G61" s="2">
        <v>1500</v>
      </c>
      <c r="H61" s="2">
        <v>4.0199999999999996</v>
      </c>
      <c r="I61" s="2">
        <f t="shared" si="1"/>
        <v>0</v>
      </c>
    </row>
    <row r="62" spans="3:9" x14ac:dyDescent="0.35">
      <c r="C62" s="1">
        <v>61</v>
      </c>
      <c r="D62" s="2">
        <v>7</v>
      </c>
      <c r="E62" s="2">
        <f t="shared" si="0"/>
        <v>0.14000000000000001</v>
      </c>
      <c r="F62" s="2">
        <v>3.54</v>
      </c>
      <c r="G62" s="2">
        <v>1500</v>
      </c>
      <c r="H62" s="2">
        <v>4.24</v>
      </c>
      <c r="I62" s="2">
        <f t="shared" si="1"/>
        <v>0</v>
      </c>
    </row>
    <row r="63" spans="3:9" x14ac:dyDescent="0.35">
      <c r="C63" s="1">
        <v>62</v>
      </c>
      <c r="D63" s="2">
        <v>6</v>
      </c>
      <c r="E63" s="2">
        <f t="shared" si="0"/>
        <v>0.12</v>
      </c>
      <c r="F63" s="2">
        <v>3.41</v>
      </c>
      <c r="G63" s="2">
        <v>1500</v>
      </c>
      <c r="H63" s="2">
        <v>4.3600000000000003</v>
      </c>
      <c r="I63" s="2">
        <f t="shared" si="1"/>
        <v>0</v>
      </c>
    </row>
    <row r="64" spans="3:9" x14ac:dyDescent="0.35">
      <c r="C64" s="1">
        <v>63</v>
      </c>
      <c r="D64" s="2">
        <v>5</v>
      </c>
      <c r="E64" s="2">
        <f t="shared" si="0"/>
        <v>0.1</v>
      </c>
      <c r="F64" s="2">
        <v>3.41</v>
      </c>
      <c r="G64" s="2">
        <v>1500</v>
      </c>
      <c r="H64" s="2">
        <v>4.26</v>
      </c>
      <c r="I64" s="2">
        <f t="shared" si="1"/>
        <v>0</v>
      </c>
    </row>
    <row r="65" spans="3:9" x14ac:dyDescent="0.35">
      <c r="C65" s="1">
        <v>64</v>
      </c>
      <c r="D65" s="2">
        <v>4</v>
      </c>
      <c r="E65" s="2">
        <f t="shared" si="0"/>
        <v>0.08</v>
      </c>
      <c r="F65" s="2">
        <v>3.41</v>
      </c>
      <c r="G65" s="2">
        <v>1500</v>
      </c>
      <c r="H65" s="2">
        <v>3.78</v>
      </c>
      <c r="I65" s="2">
        <f t="shared" si="1"/>
        <v>0</v>
      </c>
    </row>
    <row r="66" spans="3:9" x14ac:dyDescent="0.35">
      <c r="C66" s="1">
        <v>65</v>
      </c>
      <c r="D66" s="2">
        <v>3</v>
      </c>
      <c r="E66" s="2">
        <f t="shared" ref="E66:E129" si="2">D66/50</f>
        <v>0.06</v>
      </c>
      <c r="F66" s="2">
        <v>3.54</v>
      </c>
      <c r="G66" s="2">
        <v>1500</v>
      </c>
      <c r="H66" s="2">
        <v>3.58</v>
      </c>
      <c r="I66" s="2">
        <f t="shared" ref="I66:I129" si="3">IF(H66&lt;5.93,0,1)</f>
        <v>0</v>
      </c>
    </row>
    <row r="67" spans="3:9" x14ac:dyDescent="0.35">
      <c r="C67" s="1">
        <v>66</v>
      </c>
      <c r="D67" s="2">
        <v>2</v>
      </c>
      <c r="E67" s="2">
        <f t="shared" si="2"/>
        <v>0.04</v>
      </c>
      <c r="F67" s="2">
        <v>3.54</v>
      </c>
      <c r="G67" s="2">
        <v>1500</v>
      </c>
      <c r="H67" s="2">
        <v>3.62</v>
      </c>
      <c r="I67" s="2">
        <f t="shared" si="3"/>
        <v>0</v>
      </c>
    </row>
    <row r="68" spans="3:9" x14ac:dyDescent="0.35">
      <c r="C68" s="1">
        <v>67</v>
      </c>
      <c r="D68" s="2">
        <v>12</v>
      </c>
      <c r="E68" s="2">
        <f t="shared" si="2"/>
        <v>0.24</v>
      </c>
      <c r="F68" s="2">
        <v>3.01</v>
      </c>
      <c r="G68" s="2">
        <v>1500</v>
      </c>
      <c r="H68" s="2">
        <v>3.77</v>
      </c>
      <c r="I68" s="2">
        <f t="shared" si="3"/>
        <v>0</v>
      </c>
    </row>
    <row r="69" spans="3:9" x14ac:dyDescent="0.35">
      <c r="C69" s="1">
        <v>68</v>
      </c>
      <c r="D69" s="2">
        <v>11</v>
      </c>
      <c r="E69" s="2">
        <f t="shared" si="2"/>
        <v>0.22</v>
      </c>
      <c r="F69" s="2">
        <v>3.01</v>
      </c>
      <c r="G69" s="2">
        <v>1500</v>
      </c>
      <c r="H69" s="2">
        <v>3.56</v>
      </c>
      <c r="I69" s="2">
        <f t="shared" si="3"/>
        <v>0</v>
      </c>
    </row>
    <row r="70" spans="3:9" x14ac:dyDescent="0.35">
      <c r="C70" s="6">
        <v>69</v>
      </c>
      <c r="D70" s="7">
        <v>10</v>
      </c>
      <c r="E70" s="7">
        <f t="shared" si="2"/>
        <v>0.2</v>
      </c>
      <c r="F70" s="7">
        <v>2.88</v>
      </c>
      <c r="G70" s="7">
        <v>1500</v>
      </c>
      <c r="H70" s="7">
        <v>4.26</v>
      </c>
      <c r="I70" s="7">
        <f t="shared" si="3"/>
        <v>0</v>
      </c>
    </row>
    <row r="71" spans="3:9" x14ac:dyDescent="0.35">
      <c r="C71" s="4">
        <v>70</v>
      </c>
      <c r="D71" s="5">
        <v>9</v>
      </c>
      <c r="E71" s="5">
        <f t="shared" si="2"/>
        <v>0.18</v>
      </c>
      <c r="F71" s="5">
        <v>2.88</v>
      </c>
      <c r="G71" s="5">
        <v>1500</v>
      </c>
      <c r="H71" s="5">
        <v>4.49</v>
      </c>
      <c r="I71" s="5">
        <f t="shared" si="3"/>
        <v>0</v>
      </c>
    </row>
    <row r="72" spans="3:9" x14ac:dyDescent="0.35">
      <c r="C72" s="1">
        <v>71</v>
      </c>
      <c r="D72" s="2">
        <v>8</v>
      </c>
      <c r="E72" s="2">
        <f t="shared" si="2"/>
        <v>0.16</v>
      </c>
      <c r="F72" s="2">
        <v>3.01</v>
      </c>
      <c r="G72" s="2">
        <v>1500</v>
      </c>
      <c r="H72" s="2">
        <v>3.81</v>
      </c>
      <c r="I72" s="2">
        <f t="shared" si="3"/>
        <v>0</v>
      </c>
    </row>
    <row r="73" spans="3:9" x14ac:dyDescent="0.35">
      <c r="C73" s="1">
        <v>72</v>
      </c>
      <c r="D73" s="2">
        <v>7</v>
      </c>
      <c r="E73" s="2">
        <f t="shared" si="2"/>
        <v>0.14000000000000001</v>
      </c>
      <c r="F73" s="2">
        <v>2.88</v>
      </c>
      <c r="G73" s="2">
        <v>1500</v>
      </c>
      <c r="H73" s="2">
        <v>3.72</v>
      </c>
      <c r="I73" s="2">
        <f t="shared" si="3"/>
        <v>0</v>
      </c>
    </row>
    <row r="74" spans="3:9" x14ac:dyDescent="0.35">
      <c r="C74" s="1">
        <v>73</v>
      </c>
      <c r="D74" s="2">
        <v>6</v>
      </c>
      <c r="E74" s="2">
        <f t="shared" si="2"/>
        <v>0.12</v>
      </c>
      <c r="F74" s="2">
        <v>3.01</v>
      </c>
      <c r="G74" s="2">
        <v>1500</v>
      </c>
      <c r="H74" s="2">
        <v>3.64</v>
      </c>
      <c r="I74" s="2">
        <f t="shared" si="3"/>
        <v>0</v>
      </c>
    </row>
    <row r="75" spans="3:9" x14ac:dyDescent="0.35">
      <c r="C75" s="1">
        <v>74</v>
      </c>
      <c r="D75" s="2">
        <v>5</v>
      </c>
      <c r="E75" s="2">
        <f t="shared" si="2"/>
        <v>0.1</v>
      </c>
      <c r="F75" s="2">
        <v>3.01</v>
      </c>
      <c r="G75" s="2">
        <v>1500</v>
      </c>
      <c r="H75" s="2">
        <v>3.51</v>
      </c>
      <c r="I75" s="2">
        <f t="shared" si="3"/>
        <v>0</v>
      </c>
    </row>
    <row r="76" spans="3:9" x14ac:dyDescent="0.35">
      <c r="C76" s="1">
        <v>75</v>
      </c>
      <c r="D76" s="2">
        <v>4</v>
      </c>
      <c r="E76" s="2">
        <f t="shared" si="2"/>
        <v>0.08</v>
      </c>
      <c r="F76" s="2">
        <v>2.88</v>
      </c>
      <c r="G76" s="2">
        <v>1500</v>
      </c>
      <c r="H76" s="2">
        <v>3.22</v>
      </c>
      <c r="I76" s="2">
        <f t="shared" si="3"/>
        <v>0</v>
      </c>
    </row>
    <row r="77" spans="3:9" x14ac:dyDescent="0.35">
      <c r="C77" s="1">
        <v>76</v>
      </c>
      <c r="D77" s="2">
        <v>3</v>
      </c>
      <c r="E77" s="2">
        <f t="shared" si="2"/>
        <v>0.06</v>
      </c>
      <c r="F77" s="2">
        <v>3.01</v>
      </c>
      <c r="G77" s="2">
        <v>1500</v>
      </c>
      <c r="H77" s="2">
        <v>3.38</v>
      </c>
      <c r="I77" s="2">
        <f t="shared" si="3"/>
        <v>0</v>
      </c>
    </row>
    <row r="78" spans="3:9" x14ac:dyDescent="0.35">
      <c r="C78" s="1">
        <v>77</v>
      </c>
      <c r="D78" s="2">
        <v>2</v>
      </c>
      <c r="E78" s="2">
        <f t="shared" si="2"/>
        <v>0.04</v>
      </c>
      <c r="F78" s="2">
        <v>3.01</v>
      </c>
      <c r="G78" s="2">
        <v>1500</v>
      </c>
      <c r="H78" s="2">
        <v>2.83</v>
      </c>
      <c r="I78" s="2">
        <f t="shared" si="3"/>
        <v>0</v>
      </c>
    </row>
    <row r="79" spans="3:9" x14ac:dyDescent="0.35">
      <c r="C79" s="1">
        <v>78</v>
      </c>
      <c r="D79" s="2">
        <v>12</v>
      </c>
      <c r="E79" s="2">
        <f t="shared" si="2"/>
        <v>0.24</v>
      </c>
      <c r="F79" s="2">
        <v>6.56</v>
      </c>
      <c r="G79" s="2">
        <v>1500</v>
      </c>
      <c r="H79" s="2">
        <v>6.5</v>
      </c>
      <c r="I79" s="2">
        <f t="shared" si="3"/>
        <v>1</v>
      </c>
    </row>
    <row r="80" spans="3:9" x14ac:dyDescent="0.35">
      <c r="C80" s="1">
        <v>79</v>
      </c>
      <c r="D80" s="2">
        <v>11</v>
      </c>
      <c r="E80" s="2">
        <f t="shared" si="2"/>
        <v>0.22</v>
      </c>
      <c r="F80" s="2">
        <v>6.42</v>
      </c>
      <c r="G80" s="2">
        <v>1500</v>
      </c>
      <c r="H80" s="2">
        <v>6.58</v>
      </c>
      <c r="I80" s="2">
        <f t="shared" si="3"/>
        <v>1</v>
      </c>
    </row>
    <row r="81" spans="3:9" x14ac:dyDescent="0.35">
      <c r="C81" s="1">
        <v>80</v>
      </c>
      <c r="D81" s="2">
        <v>10</v>
      </c>
      <c r="E81" s="2">
        <f t="shared" si="2"/>
        <v>0.2</v>
      </c>
      <c r="F81" s="2">
        <v>6.56</v>
      </c>
      <c r="G81" s="2">
        <v>1500</v>
      </c>
      <c r="H81" s="2">
        <v>6.56</v>
      </c>
      <c r="I81" s="2">
        <f t="shared" si="3"/>
        <v>1</v>
      </c>
    </row>
    <row r="82" spans="3:9" x14ac:dyDescent="0.35">
      <c r="C82" s="1">
        <v>81</v>
      </c>
      <c r="D82" s="2">
        <v>9</v>
      </c>
      <c r="E82" s="2">
        <f t="shared" si="2"/>
        <v>0.18</v>
      </c>
      <c r="F82" s="2">
        <v>6.42</v>
      </c>
      <c r="G82" s="2">
        <v>1500</v>
      </c>
      <c r="H82" s="2">
        <v>6.62</v>
      </c>
      <c r="I82" s="2">
        <f t="shared" si="3"/>
        <v>1</v>
      </c>
    </row>
    <row r="83" spans="3:9" x14ac:dyDescent="0.35">
      <c r="C83" s="1">
        <v>82</v>
      </c>
      <c r="D83" s="2">
        <v>8</v>
      </c>
      <c r="E83" s="2">
        <f t="shared" si="2"/>
        <v>0.16</v>
      </c>
      <c r="F83" s="2">
        <v>6.56</v>
      </c>
      <c r="G83" s="2">
        <v>1500</v>
      </c>
      <c r="H83" s="2">
        <v>6.48</v>
      </c>
      <c r="I83" s="2">
        <f t="shared" si="3"/>
        <v>1</v>
      </c>
    </row>
    <row r="84" spans="3:9" x14ac:dyDescent="0.35">
      <c r="C84" s="1">
        <v>83</v>
      </c>
      <c r="D84" s="2">
        <v>7</v>
      </c>
      <c r="E84" s="2">
        <f t="shared" si="2"/>
        <v>0.14000000000000001</v>
      </c>
      <c r="F84" s="2">
        <v>6.56</v>
      </c>
      <c r="G84" s="2">
        <v>1500</v>
      </c>
      <c r="H84" s="2">
        <v>6.65</v>
      </c>
      <c r="I84" s="2">
        <f t="shared" si="3"/>
        <v>1</v>
      </c>
    </row>
    <row r="85" spans="3:9" x14ac:dyDescent="0.35">
      <c r="C85" s="1">
        <v>84</v>
      </c>
      <c r="D85" s="2">
        <v>6</v>
      </c>
      <c r="E85" s="2">
        <f t="shared" si="2"/>
        <v>0.12</v>
      </c>
      <c r="F85" s="2">
        <v>6.42</v>
      </c>
      <c r="G85" s="2">
        <v>1500</v>
      </c>
      <c r="H85" s="2">
        <v>5.95</v>
      </c>
      <c r="I85" s="2">
        <f t="shared" si="3"/>
        <v>1</v>
      </c>
    </row>
    <row r="86" spans="3:9" x14ac:dyDescent="0.35">
      <c r="C86" s="1">
        <v>85</v>
      </c>
      <c r="D86" s="2">
        <v>5</v>
      </c>
      <c r="E86" s="2">
        <f t="shared" si="2"/>
        <v>0.1</v>
      </c>
      <c r="F86" s="2">
        <v>6.56</v>
      </c>
      <c r="G86" s="2">
        <v>1500</v>
      </c>
      <c r="H86" s="2">
        <v>6.3</v>
      </c>
      <c r="I86" s="2">
        <f t="shared" si="3"/>
        <v>1</v>
      </c>
    </row>
    <row r="87" spans="3:9" x14ac:dyDescent="0.35">
      <c r="C87" s="1">
        <v>86</v>
      </c>
      <c r="D87" s="2">
        <v>4</v>
      </c>
      <c r="E87" s="2">
        <f t="shared" si="2"/>
        <v>0.08</v>
      </c>
      <c r="F87" s="2">
        <v>6.56</v>
      </c>
      <c r="G87" s="2">
        <v>1500</v>
      </c>
      <c r="H87" s="2">
        <v>5.68</v>
      </c>
      <c r="I87" s="2">
        <f t="shared" si="3"/>
        <v>0</v>
      </c>
    </row>
    <row r="88" spans="3:9" x14ac:dyDescent="0.35">
      <c r="C88" s="1">
        <v>87</v>
      </c>
      <c r="D88" s="2">
        <v>3</v>
      </c>
      <c r="E88" s="2">
        <f t="shared" si="2"/>
        <v>0.06</v>
      </c>
      <c r="F88" s="2">
        <v>6.56</v>
      </c>
      <c r="G88" s="2">
        <v>1500</v>
      </c>
      <c r="H88" s="2">
        <v>4.67</v>
      </c>
      <c r="I88" s="2">
        <f t="shared" si="3"/>
        <v>0</v>
      </c>
    </row>
    <row r="89" spans="3:9" x14ac:dyDescent="0.35">
      <c r="C89" s="6">
        <v>88</v>
      </c>
      <c r="D89" s="7">
        <v>2</v>
      </c>
      <c r="E89" s="7">
        <f t="shared" si="2"/>
        <v>0.04</v>
      </c>
      <c r="F89" s="7">
        <v>6.56</v>
      </c>
      <c r="G89" s="7">
        <v>1500</v>
      </c>
      <c r="H89" s="7">
        <v>5.33</v>
      </c>
      <c r="I89" s="7">
        <f t="shared" si="3"/>
        <v>0</v>
      </c>
    </row>
    <row r="90" spans="3:9" x14ac:dyDescent="0.35">
      <c r="C90" s="4">
        <v>89</v>
      </c>
      <c r="D90" s="5">
        <v>12</v>
      </c>
      <c r="E90" s="5">
        <f t="shared" si="2"/>
        <v>0.24</v>
      </c>
      <c r="F90" s="5">
        <v>2.4900000000000002</v>
      </c>
      <c r="G90" s="5">
        <v>1500</v>
      </c>
      <c r="H90" s="5">
        <v>4.0999999999999996</v>
      </c>
      <c r="I90" s="5">
        <f t="shared" si="3"/>
        <v>0</v>
      </c>
    </row>
    <row r="91" spans="3:9" x14ac:dyDescent="0.35">
      <c r="C91" s="1">
        <v>90</v>
      </c>
      <c r="D91" s="2">
        <v>11</v>
      </c>
      <c r="E91" s="2">
        <f t="shared" si="2"/>
        <v>0.22</v>
      </c>
      <c r="F91" s="2">
        <v>2.4900000000000002</v>
      </c>
      <c r="G91" s="2">
        <v>1500</v>
      </c>
      <c r="H91" s="2">
        <v>4</v>
      </c>
      <c r="I91" s="2">
        <f t="shared" si="3"/>
        <v>0</v>
      </c>
    </row>
    <row r="92" spans="3:9" x14ac:dyDescent="0.35">
      <c r="C92" s="1">
        <v>91</v>
      </c>
      <c r="D92" s="2">
        <v>10</v>
      </c>
      <c r="E92" s="2">
        <f t="shared" si="2"/>
        <v>0.2</v>
      </c>
      <c r="F92" s="2">
        <v>2.4900000000000002</v>
      </c>
      <c r="G92" s="2">
        <v>1500</v>
      </c>
      <c r="H92" s="2">
        <v>3.51</v>
      </c>
      <c r="I92" s="2">
        <f t="shared" si="3"/>
        <v>0</v>
      </c>
    </row>
    <row r="93" spans="3:9" x14ac:dyDescent="0.35">
      <c r="C93" s="1">
        <v>92</v>
      </c>
      <c r="D93" s="2">
        <v>9</v>
      </c>
      <c r="E93" s="2">
        <f t="shared" si="2"/>
        <v>0.18</v>
      </c>
      <c r="F93" s="2">
        <v>2.4900000000000002</v>
      </c>
      <c r="G93" s="2">
        <v>1500</v>
      </c>
      <c r="H93" s="2">
        <v>3.83</v>
      </c>
      <c r="I93" s="2">
        <f t="shared" si="3"/>
        <v>0</v>
      </c>
    </row>
    <row r="94" spans="3:9" x14ac:dyDescent="0.35">
      <c r="C94" s="1">
        <v>93</v>
      </c>
      <c r="D94" s="2">
        <v>8</v>
      </c>
      <c r="E94" s="2">
        <f t="shared" si="2"/>
        <v>0.16</v>
      </c>
      <c r="F94" s="2">
        <v>2.4900000000000002</v>
      </c>
      <c r="G94" s="2">
        <v>1500</v>
      </c>
      <c r="H94" s="2">
        <v>3.76</v>
      </c>
      <c r="I94" s="2">
        <f t="shared" si="3"/>
        <v>0</v>
      </c>
    </row>
    <row r="95" spans="3:9" x14ac:dyDescent="0.35">
      <c r="C95" s="1">
        <v>94</v>
      </c>
      <c r="D95" s="2">
        <v>7</v>
      </c>
      <c r="E95" s="2">
        <f t="shared" si="2"/>
        <v>0.14000000000000001</v>
      </c>
      <c r="F95" s="2">
        <v>2.4900000000000002</v>
      </c>
      <c r="G95" s="2">
        <v>1500</v>
      </c>
      <c r="H95" s="2">
        <v>3.45</v>
      </c>
      <c r="I95" s="2">
        <f t="shared" si="3"/>
        <v>0</v>
      </c>
    </row>
    <row r="96" spans="3:9" x14ac:dyDescent="0.35">
      <c r="C96" s="1">
        <v>95</v>
      </c>
      <c r="D96" s="2">
        <v>6</v>
      </c>
      <c r="E96" s="2">
        <f t="shared" si="2"/>
        <v>0.12</v>
      </c>
      <c r="F96" s="2">
        <v>2.4900000000000002</v>
      </c>
      <c r="G96" s="2">
        <v>1500</v>
      </c>
      <c r="H96" s="2">
        <v>3.24</v>
      </c>
      <c r="I96" s="2">
        <f t="shared" si="3"/>
        <v>0</v>
      </c>
    </row>
    <row r="97" spans="3:9" x14ac:dyDescent="0.35">
      <c r="C97" s="1">
        <v>96</v>
      </c>
      <c r="D97" s="2">
        <v>5</v>
      </c>
      <c r="E97" s="2">
        <f t="shared" si="2"/>
        <v>0.1</v>
      </c>
      <c r="F97" s="2">
        <v>2.4900000000000002</v>
      </c>
      <c r="G97" s="2">
        <v>1500</v>
      </c>
      <c r="H97" s="2">
        <v>3.1</v>
      </c>
      <c r="I97" s="2">
        <f t="shared" si="3"/>
        <v>0</v>
      </c>
    </row>
    <row r="98" spans="3:9" x14ac:dyDescent="0.35">
      <c r="C98" s="1">
        <v>97</v>
      </c>
      <c r="D98" s="2">
        <v>4</v>
      </c>
      <c r="E98" s="2">
        <f t="shared" si="2"/>
        <v>0.08</v>
      </c>
      <c r="F98" s="2">
        <v>2.4900000000000002</v>
      </c>
      <c r="G98" s="2">
        <v>1500</v>
      </c>
      <c r="H98" s="2">
        <v>2.95</v>
      </c>
      <c r="I98" s="2">
        <f t="shared" si="3"/>
        <v>0</v>
      </c>
    </row>
    <row r="99" spans="3:9" x14ac:dyDescent="0.35">
      <c r="C99" s="1">
        <v>98</v>
      </c>
      <c r="D99" s="2">
        <v>3</v>
      </c>
      <c r="E99" s="2">
        <f t="shared" si="2"/>
        <v>0.06</v>
      </c>
      <c r="F99" s="2">
        <v>2.4900000000000002</v>
      </c>
      <c r="G99" s="2">
        <v>1500</v>
      </c>
      <c r="H99" s="2">
        <v>2.79</v>
      </c>
      <c r="I99" s="2">
        <f t="shared" si="3"/>
        <v>0</v>
      </c>
    </row>
    <row r="100" spans="3:9" x14ac:dyDescent="0.35">
      <c r="C100" s="1">
        <v>99</v>
      </c>
      <c r="D100" s="2">
        <v>2</v>
      </c>
      <c r="E100" s="2">
        <f t="shared" si="2"/>
        <v>0.04</v>
      </c>
      <c r="F100" s="2">
        <v>2.4900000000000002</v>
      </c>
      <c r="G100" s="2">
        <v>1500</v>
      </c>
      <c r="H100" s="2">
        <v>2.74</v>
      </c>
      <c r="I100" s="2">
        <f t="shared" si="3"/>
        <v>0</v>
      </c>
    </row>
    <row r="101" spans="3:9" x14ac:dyDescent="0.35">
      <c r="C101" s="1">
        <v>100</v>
      </c>
      <c r="D101" s="2">
        <v>12</v>
      </c>
      <c r="E101" s="2">
        <f t="shared" si="2"/>
        <v>0.24</v>
      </c>
      <c r="F101" s="2">
        <v>1.96</v>
      </c>
      <c r="G101" s="2">
        <v>1500</v>
      </c>
      <c r="H101" s="2">
        <v>3.43</v>
      </c>
      <c r="I101" s="2">
        <f t="shared" si="3"/>
        <v>0</v>
      </c>
    </row>
    <row r="102" spans="3:9" x14ac:dyDescent="0.35">
      <c r="C102" s="1">
        <v>101</v>
      </c>
      <c r="D102" s="2">
        <v>11</v>
      </c>
      <c r="E102" s="2">
        <f t="shared" si="2"/>
        <v>0.22</v>
      </c>
      <c r="F102" s="2">
        <v>1.96</v>
      </c>
      <c r="G102" s="2">
        <v>1500</v>
      </c>
      <c r="H102" s="2">
        <v>3.15</v>
      </c>
      <c r="I102" s="2">
        <f t="shared" si="3"/>
        <v>0</v>
      </c>
    </row>
    <row r="103" spans="3:9" x14ac:dyDescent="0.35">
      <c r="C103" s="1">
        <v>102</v>
      </c>
      <c r="D103" s="2">
        <v>10</v>
      </c>
      <c r="E103" s="2">
        <f t="shared" si="2"/>
        <v>0.2</v>
      </c>
      <c r="F103" s="2">
        <v>1.96</v>
      </c>
      <c r="G103" s="2">
        <v>1500</v>
      </c>
      <c r="H103" s="2">
        <v>3.19</v>
      </c>
      <c r="I103" s="2">
        <f t="shared" si="3"/>
        <v>0</v>
      </c>
    </row>
    <row r="104" spans="3:9" x14ac:dyDescent="0.35">
      <c r="C104" s="1">
        <v>103</v>
      </c>
      <c r="D104" s="2">
        <v>9</v>
      </c>
      <c r="E104" s="2">
        <f t="shared" si="2"/>
        <v>0.18</v>
      </c>
      <c r="F104" s="2">
        <v>1.96</v>
      </c>
      <c r="G104" s="2">
        <v>1500</v>
      </c>
      <c r="H104" s="2">
        <v>3.14</v>
      </c>
      <c r="I104" s="2">
        <f t="shared" si="3"/>
        <v>0</v>
      </c>
    </row>
    <row r="105" spans="3:9" x14ac:dyDescent="0.35">
      <c r="C105" s="1">
        <v>104</v>
      </c>
      <c r="D105" s="2">
        <v>8</v>
      </c>
      <c r="E105" s="2">
        <f t="shared" si="2"/>
        <v>0.16</v>
      </c>
      <c r="F105" s="2">
        <v>1.96</v>
      </c>
      <c r="G105" s="2">
        <v>1500</v>
      </c>
      <c r="H105" s="2">
        <v>3.25</v>
      </c>
      <c r="I105" s="2">
        <f t="shared" si="3"/>
        <v>0</v>
      </c>
    </row>
    <row r="106" spans="3:9" x14ac:dyDescent="0.35">
      <c r="C106" s="1">
        <v>105</v>
      </c>
      <c r="D106" s="2">
        <v>7</v>
      </c>
      <c r="E106" s="2">
        <f t="shared" si="2"/>
        <v>0.14000000000000001</v>
      </c>
      <c r="F106" s="2">
        <v>2.09</v>
      </c>
      <c r="G106" s="2">
        <v>1500</v>
      </c>
      <c r="H106" s="2">
        <v>2.5099999999999998</v>
      </c>
      <c r="I106" s="2">
        <f t="shared" si="3"/>
        <v>0</v>
      </c>
    </row>
    <row r="107" spans="3:9" x14ac:dyDescent="0.35">
      <c r="C107" s="1">
        <v>106</v>
      </c>
      <c r="D107" s="2">
        <v>6</v>
      </c>
      <c r="E107" s="2">
        <f t="shared" si="2"/>
        <v>0.12</v>
      </c>
      <c r="F107" s="2">
        <v>2.09</v>
      </c>
      <c r="G107" s="2">
        <v>1500</v>
      </c>
      <c r="H107" s="2">
        <v>2.58</v>
      </c>
      <c r="I107" s="2">
        <f t="shared" si="3"/>
        <v>0</v>
      </c>
    </row>
    <row r="108" spans="3:9" x14ac:dyDescent="0.35">
      <c r="C108" s="1">
        <v>107</v>
      </c>
      <c r="D108" s="2">
        <v>5</v>
      </c>
      <c r="E108" s="2">
        <f t="shared" si="2"/>
        <v>0.1</v>
      </c>
      <c r="F108" s="2">
        <v>1.96</v>
      </c>
      <c r="G108" s="2">
        <v>1500</v>
      </c>
      <c r="H108" s="2">
        <v>2.42</v>
      </c>
      <c r="I108" s="2">
        <f t="shared" si="3"/>
        <v>0</v>
      </c>
    </row>
    <row r="109" spans="3:9" x14ac:dyDescent="0.35">
      <c r="C109" s="1">
        <v>108</v>
      </c>
      <c r="D109" s="2">
        <v>4</v>
      </c>
      <c r="E109" s="2">
        <f t="shared" si="2"/>
        <v>0.08</v>
      </c>
      <c r="F109" s="2">
        <v>1.96</v>
      </c>
      <c r="G109" s="2">
        <v>1500</v>
      </c>
      <c r="H109" s="2">
        <v>2.4500000000000002</v>
      </c>
      <c r="I109" s="2">
        <f t="shared" si="3"/>
        <v>0</v>
      </c>
    </row>
    <row r="110" spans="3:9" x14ac:dyDescent="0.35">
      <c r="C110" s="1">
        <v>109</v>
      </c>
      <c r="D110" s="2">
        <v>3</v>
      </c>
      <c r="E110" s="2">
        <f t="shared" si="2"/>
        <v>0.06</v>
      </c>
      <c r="F110" s="2">
        <v>1.96</v>
      </c>
      <c r="G110" s="2">
        <v>1500</v>
      </c>
      <c r="H110" s="2">
        <v>2.52</v>
      </c>
      <c r="I110" s="2">
        <f t="shared" si="3"/>
        <v>0</v>
      </c>
    </row>
    <row r="111" spans="3:9" x14ac:dyDescent="0.35">
      <c r="C111" s="1">
        <v>110</v>
      </c>
      <c r="D111" s="2">
        <v>2</v>
      </c>
      <c r="E111" s="2">
        <f t="shared" si="2"/>
        <v>0.04</v>
      </c>
      <c r="F111" s="2">
        <v>1.96</v>
      </c>
      <c r="G111" s="2">
        <v>1500</v>
      </c>
      <c r="H111" s="2">
        <v>1.7</v>
      </c>
      <c r="I111" s="2">
        <f t="shared" si="3"/>
        <v>0</v>
      </c>
    </row>
    <row r="112" spans="3:9" x14ac:dyDescent="0.35">
      <c r="C112" s="1">
        <v>111</v>
      </c>
      <c r="D112" s="2">
        <v>12</v>
      </c>
      <c r="E112" s="2">
        <f t="shared" si="2"/>
        <v>0.24</v>
      </c>
      <c r="F112" s="2">
        <v>6.56</v>
      </c>
      <c r="G112" s="2">
        <v>1000</v>
      </c>
      <c r="H112" s="2">
        <v>6.63</v>
      </c>
      <c r="I112" s="2">
        <f t="shared" si="3"/>
        <v>1</v>
      </c>
    </row>
    <row r="113" spans="3:9" x14ac:dyDescent="0.35">
      <c r="C113" s="1">
        <v>112</v>
      </c>
      <c r="D113" s="2">
        <v>11</v>
      </c>
      <c r="E113" s="2">
        <f t="shared" si="2"/>
        <v>0.22</v>
      </c>
      <c r="F113" s="2">
        <v>6.56</v>
      </c>
      <c r="G113" s="2">
        <v>1000</v>
      </c>
      <c r="H113" s="2">
        <v>6.78</v>
      </c>
      <c r="I113" s="2">
        <f t="shared" si="3"/>
        <v>1</v>
      </c>
    </row>
    <row r="114" spans="3:9" x14ac:dyDescent="0.35">
      <c r="C114" s="1">
        <v>113</v>
      </c>
      <c r="D114" s="2">
        <v>10</v>
      </c>
      <c r="E114" s="2">
        <f t="shared" si="2"/>
        <v>0.2</v>
      </c>
      <c r="F114" s="2">
        <v>6.56</v>
      </c>
      <c r="G114" s="2">
        <v>1000</v>
      </c>
      <c r="H114" s="2">
        <v>7.21</v>
      </c>
      <c r="I114" s="2">
        <f t="shared" si="3"/>
        <v>1</v>
      </c>
    </row>
    <row r="115" spans="3:9" x14ac:dyDescent="0.35">
      <c r="C115" s="1">
        <v>114</v>
      </c>
      <c r="D115" s="2">
        <v>9</v>
      </c>
      <c r="E115" s="2">
        <f t="shared" si="2"/>
        <v>0.18</v>
      </c>
      <c r="F115" s="2">
        <v>6.42</v>
      </c>
      <c r="G115" s="2">
        <v>1000</v>
      </c>
      <c r="H115" s="2">
        <v>6.97</v>
      </c>
      <c r="I115" s="2">
        <f t="shared" si="3"/>
        <v>1</v>
      </c>
    </row>
    <row r="116" spans="3:9" x14ac:dyDescent="0.35">
      <c r="C116" s="1">
        <v>115</v>
      </c>
      <c r="D116" s="2">
        <v>8</v>
      </c>
      <c r="E116" s="2">
        <f t="shared" si="2"/>
        <v>0.16</v>
      </c>
      <c r="F116" s="2">
        <v>6.56</v>
      </c>
      <c r="G116" s="2">
        <v>1000</v>
      </c>
      <c r="H116" s="2">
        <v>6.6</v>
      </c>
      <c r="I116" s="2">
        <f t="shared" si="3"/>
        <v>1</v>
      </c>
    </row>
    <row r="117" spans="3:9" x14ac:dyDescent="0.35">
      <c r="C117" s="1">
        <v>116</v>
      </c>
      <c r="D117" s="2">
        <v>7</v>
      </c>
      <c r="E117" s="2">
        <f t="shared" si="2"/>
        <v>0.14000000000000001</v>
      </c>
      <c r="F117" s="2">
        <v>6.42</v>
      </c>
      <c r="G117" s="2">
        <v>1000</v>
      </c>
      <c r="H117" s="2">
        <v>6.68</v>
      </c>
      <c r="I117" s="2">
        <f t="shared" si="3"/>
        <v>1</v>
      </c>
    </row>
    <row r="118" spans="3:9" x14ac:dyDescent="0.35">
      <c r="C118" s="1">
        <v>117</v>
      </c>
      <c r="D118" s="2">
        <v>6</v>
      </c>
      <c r="E118" s="2">
        <f t="shared" si="2"/>
        <v>0.12</v>
      </c>
      <c r="F118" s="2">
        <v>6.56</v>
      </c>
      <c r="G118" s="2">
        <v>1000</v>
      </c>
      <c r="H118" s="2">
        <v>6.48</v>
      </c>
      <c r="I118" s="2">
        <f t="shared" si="3"/>
        <v>1</v>
      </c>
    </row>
    <row r="119" spans="3:9" x14ac:dyDescent="0.35">
      <c r="C119" s="1">
        <v>118</v>
      </c>
      <c r="D119" s="2">
        <v>5</v>
      </c>
      <c r="E119" s="2">
        <f t="shared" si="2"/>
        <v>0.1</v>
      </c>
      <c r="F119" s="2">
        <v>6.56</v>
      </c>
      <c r="G119" s="2">
        <v>1000</v>
      </c>
      <c r="H119" s="2">
        <v>6.5</v>
      </c>
      <c r="I119" s="2">
        <f t="shared" si="3"/>
        <v>1</v>
      </c>
    </row>
    <row r="120" spans="3:9" x14ac:dyDescent="0.35">
      <c r="C120" s="1">
        <v>119</v>
      </c>
      <c r="D120" s="2">
        <v>4</v>
      </c>
      <c r="E120" s="2">
        <f t="shared" si="2"/>
        <v>0.08</v>
      </c>
      <c r="F120" s="2">
        <v>6.56</v>
      </c>
      <c r="G120" s="2">
        <v>1000</v>
      </c>
      <c r="H120" s="2">
        <v>6.49</v>
      </c>
      <c r="I120" s="2">
        <f t="shared" si="3"/>
        <v>1</v>
      </c>
    </row>
    <row r="121" spans="3:9" x14ac:dyDescent="0.35">
      <c r="C121" s="1">
        <v>120</v>
      </c>
      <c r="D121" s="2">
        <v>3</v>
      </c>
      <c r="E121" s="2">
        <f t="shared" si="2"/>
        <v>0.06</v>
      </c>
      <c r="F121" s="2">
        <v>6.42</v>
      </c>
      <c r="G121" s="2">
        <v>1000</v>
      </c>
      <c r="H121" s="2">
        <v>5.29</v>
      </c>
      <c r="I121" s="2">
        <f t="shared" si="3"/>
        <v>0</v>
      </c>
    </row>
    <row r="122" spans="3:9" x14ac:dyDescent="0.35">
      <c r="C122" s="1">
        <v>121</v>
      </c>
      <c r="D122" s="2">
        <v>2</v>
      </c>
      <c r="E122" s="2">
        <f t="shared" si="2"/>
        <v>0.04</v>
      </c>
      <c r="F122" s="2">
        <v>6.42</v>
      </c>
      <c r="G122" s="2">
        <v>1000</v>
      </c>
      <c r="H122" s="2">
        <v>4.59</v>
      </c>
      <c r="I122" s="2">
        <f t="shared" si="3"/>
        <v>0</v>
      </c>
    </row>
    <row r="123" spans="3:9" x14ac:dyDescent="0.35">
      <c r="C123" s="1">
        <v>122</v>
      </c>
      <c r="D123" s="2">
        <v>12</v>
      </c>
      <c r="E123" s="2">
        <f t="shared" si="2"/>
        <v>0.24</v>
      </c>
      <c r="F123" s="2">
        <v>5.9</v>
      </c>
      <c r="G123" s="2">
        <v>1000</v>
      </c>
      <c r="H123" s="2">
        <v>7.04</v>
      </c>
      <c r="I123" s="2">
        <f t="shared" si="3"/>
        <v>1</v>
      </c>
    </row>
    <row r="124" spans="3:9" x14ac:dyDescent="0.35">
      <c r="C124" s="1">
        <v>123</v>
      </c>
      <c r="D124" s="2">
        <v>11</v>
      </c>
      <c r="E124" s="2">
        <f t="shared" si="2"/>
        <v>0.22</v>
      </c>
      <c r="F124" s="2">
        <v>6.03</v>
      </c>
      <c r="G124" s="2">
        <v>1000</v>
      </c>
      <c r="H124" s="2">
        <v>6.98</v>
      </c>
      <c r="I124" s="2">
        <f t="shared" si="3"/>
        <v>1</v>
      </c>
    </row>
    <row r="125" spans="3:9" x14ac:dyDescent="0.35">
      <c r="C125" s="1">
        <v>124</v>
      </c>
      <c r="D125" s="2">
        <v>10</v>
      </c>
      <c r="E125" s="2">
        <f t="shared" si="2"/>
        <v>0.2</v>
      </c>
      <c r="F125" s="2">
        <v>5.9</v>
      </c>
      <c r="G125" s="2">
        <v>1000</v>
      </c>
      <c r="H125" s="2">
        <v>6.68</v>
      </c>
      <c r="I125" s="2">
        <f t="shared" si="3"/>
        <v>1</v>
      </c>
    </row>
    <row r="126" spans="3:9" x14ac:dyDescent="0.35">
      <c r="C126" s="1">
        <v>125</v>
      </c>
      <c r="D126" s="2">
        <v>9</v>
      </c>
      <c r="E126" s="2">
        <f t="shared" si="2"/>
        <v>0.18</v>
      </c>
      <c r="F126" s="2">
        <v>5.9</v>
      </c>
      <c r="G126" s="2">
        <v>1000</v>
      </c>
      <c r="H126" s="2">
        <v>6.38</v>
      </c>
      <c r="I126" s="2">
        <f t="shared" si="3"/>
        <v>1</v>
      </c>
    </row>
    <row r="127" spans="3:9" x14ac:dyDescent="0.35">
      <c r="C127" s="1">
        <v>126</v>
      </c>
      <c r="D127" s="2">
        <v>8</v>
      </c>
      <c r="E127" s="2">
        <f t="shared" si="2"/>
        <v>0.16</v>
      </c>
      <c r="F127" s="2">
        <v>5.9</v>
      </c>
      <c r="G127" s="2">
        <v>1000</v>
      </c>
      <c r="H127" s="2">
        <v>6.55</v>
      </c>
      <c r="I127" s="2">
        <f t="shared" si="3"/>
        <v>1</v>
      </c>
    </row>
    <row r="128" spans="3:9" x14ac:dyDescent="0.35">
      <c r="C128" s="1">
        <v>127</v>
      </c>
      <c r="D128" s="2">
        <v>7</v>
      </c>
      <c r="E128" s="2">
        <f t="shared" si="2"/>
        <v>0.14000000000000001</v>
      </c>
      <c r="F128" s="2">
        <v>6.03</v>
      </c>
      <c r="G128" s="2">
        <v>1000</v>
      </c>
      <c r="H128" s="2">
        <v>6.66</v>
      </c>
      <c r="I128" s="2">
        <f t="shared" si="3"/>
        <v>1</v>
      </c>
    </row>
    <row r="129" spans="3:9" x14ac:dyDescent="0.35">
      <c r="C129" s="1">
        <v>128</v>
      </c>
      <c r="D129" s="2">
        <v>6</v>
      </c>
      <c r="E129" s="2">
        <f t="shared" si="2"/>
        <v>0.12</v>
      </c>
      <c r="F129" s="2">
        <v>5.9</v>
      </c>
      <c r="G129" s="2">
        <v>1000</v>
      </c>
      <c r="H129" s="2">
        <v>6.58</v>
      </c>
      <c r="I129" s="2">
        <f t="shared" si="3"/>
        <v>1</v>
      </c>
    </row>
    <row r="130" spans="3:9" x14ac:dyDescent="0.35">
      <c r="C130" s="1">
        <v>129</v>
      </c>
      <c r="D130" s="2">
        <v>5</v>
      </c>
      <c r="E130" s="2">
        <f t="shared" ref="E130:E193" si="4">D130/50</f>
        <v>0.1</v>
      </c>
      <c r="F130" s="2">
        <v>5.9</v>
      </c>
      <c r="G130" s="2">
        <v>1000</v>
      </c>
      <c r="H130" s="2">
        <v>6.48</v>
      </c>
      <c r="I130" s="2">
        <f t="shared" ref="I130:I193" si="5">IF(H130&lt;5.93,0,1)</f>
        <v>1</v>
      </c>
    </row>
    <row r="131" spans="3:9" x14ac:dyDescent="0.35">
      <c r="C131" s="1">
        <v>130</v>
      </c>
      <c r="D131" s="2">
        <v>4</v>
      </c>
      <c r="E131" s="2">
        <f t="shared" si="4"/>
        <v>0.08</v>
      </c>
      <c r="F131" s="2">
        <v>6.03</v>
      </c>
      <c r="G131" s="2">
        <v>1000</v>
      </c>
      <c r="H131" s="2">
        <v>6.08</v>
      </c>
      <c r="I131" s="2">
        <f t="shared" si="5"/>
        <v>1</v>
      </c>
    </row>
    <row r="132" spans="3:9" x14ac:dyDescent="0.35">
      <c r="C132" s="1">
        <v>131</v>
      </c>
      <c r="D132" s="2">
        <v>3</v>
      </c>
      <c r="E132" s="2">
        <f t="shared" si="4"/>
        <v>0.06</v>
      </c>
      <c r="F132" s="2">
        <v>6.03</v>
      </c>
      <c r="G132" s="2">
        <v>1000</v>
      </c>
      <c r="H132" s="2">
        <v>5.41</v>
      </c>
      <c r="I132" s="2">
        <f t="shared" si="5"/>
        <v>0</v>
      </c>
    </row>
    <row r="133" spans="3:9" x14ac:dyDescent="0.35">
      <c r="C133" s="1">
        <v>132</v>
      </c>
      <c r="D133" s="2">
        <v>2</v>
      </c>
      <c r="E133" s="2">
        <f t="shared" si="4"/>
        <v>0.04</v>
      </c>
      <c r="F133" s="2">
        <v>5.9</v>
      </c>
      <c r="G133" s="2">
        <v>1000</v>
      </c>
      <c r="H133" s="2">
        <v>4.7699999999999996</v>
      </c>
      <c r="I133" s="2">
        <f t="shared" si="5"/>
        <v>0</v>
      </c>
    </row>
    <row r="134" spans="3:9" x14ac:dyDescent="0.35">
      <c r="C134" s="1">
        <v>133</v>
      </c>
      <c r="D134" s="2">
        <v>12</v>
      </c>
      <c r="E134" s="2">
        <f t="shared" si="4"/>
        <v>0.24</v>
      </c>
      <c r="F134" s="2">
        <v>5.51</v>
      </c>
      <c r="G134" s="2">
        <v>1000</v>
      </c>
      <c r="H134" s="2">
        <v>6.14</v>
      </c>
      <c r="I134" s="2">
        <f t="shared" si="5"/>
        <v>1</v>
      </c>
    </row>
    <row r="135" spans="3:9" x14ac:dyDescent="0.35">
      <c r="C135" s="1">
        <v>134</v>
      </c>
      <c r="D135" s="2">
        <v>11</v>
      </c>
      <c r="E135" s="2">
        <f t="shared" si="4"/>
        <v>0.22</v>
      </c>
      <c r="F135" s="2">
        <v>5.51</v>
      </c>
      <c r="G135" s="2">
        <v>1000</v>
      </c>
      <c r="H135" s="2">
        <v>6</v>
      </c>
      <c r="I135" s="2">
        <f t="shared" si="5"/>
        <v>1</v>
      </c>
    </row>
    <row r="136" spans="3:9" x14ac:dyDescent="0.35">
      <c r="C136" s="1">
        <v>135</v>
      </c>
      <c r="D136" s="2">
        <v>10</v>
      </c>
      <c r="E136" s="2">
        <f t="shared" si="4"/>
        <v>0.2</v>
      </c>
      <c r="F136" s="2">
        <v>5.51</v>
      </c>
      <c r="G136" s="2">
        <v>1000</v>
      </c>
      <c r="H136" s="2">
        <v>6.1</v>
      </c>
      <c r="I136" s="2">
        <f t="shared" si="5"/>
        <v>1</v>
      </c>
    </row>
    <row r="137" spans="3:9" x14ac:dyDescent="0.35">
      <c r="C137" s="1">
        <v>136</v>
      </c>
      <c r="D137" s="2">
        <v>9</v>
      </c>
      <c r="E137" s="2">
        <f t="shared" si="4"/>
        <v>0.18</v>
      </c>
      <c r="F137" s="2">
        <v>5.51</v>
      </c>
      <c r="G137" s="2">
        <v>1000</v>
      </c>
      <c r="H137" s="2">
        <v>6.29</v>
      </c>
      <c r="I137" s="2">
        <f t="shared" si="5"/>
        <v>1</v>
      </c>
    </row>
    <row r="138" spans="3:9" x14ac:dyDescent="0.35">
      <c r="C138" s="1">
        <v>137</v>
      </c>
      <c r="D138" s="2">
        <v>8</v>
      </c>
      <c r="E138" s="2">
        <f t="shared" si="4"/>
        <v>0.16</v>
      </c>
      <c r="F138" s="2">
        <v>5.51</v>
      </c>
      <c r="G138" s="2">
        <v>1000</v>
      </c>
      <c r="H138" s="2">
        <v>6.48</v>
      </c>
      <c r="I138" s="2">
        <f t="shared" si="5"/>
        <v>1</v>
      </c>
    </row>
    <row r="139" spans="3:9" x14ac:dyDescent="0.35">
      <c r="C139" s="1">
        <v>138</v>
      </c>
      <c r="D139" s="2">
        <v>7</v>
      </c>
      <c r="E139" s="2">
        <f t="shared" si="4"/>
        <v>0.14000000000000001</v>
      </c>
      <c r="F139" s="2">
        <v>5.51</v>
      </c>
      <c r="G139" s="2">
        <v>1000</v>
      </c>
      <c r="H139" s="2">
        <v>5.81</v>
      </c>
      <c r="I139" s="2">
        <f t="shared" si="5"/>
        <v>0</v>
      </c>
    </row>
    <row r="140" spans="3:9" x14ac:dyDescent="0.35">
      <c r="C140" s="1">
        <v>139</v>
      </c>
      <c r="D140" s="2">
        <v>6</v>
      </c>
      <c r="E140" s="2">
        <f t="shared" si="4"/>
        <v>0.12</v>
      </c>
      <c r="F140" s="2">
        <v>5.37</v>
      </c>
      <c r="G140" s="2">
        <v>1000</v>
      </c>
      <c r="H140" s="2">
        <v>6.29</v>
      </c>
      <c r="I140" s="2">
        <f t="shared" si="5"/>
        <v>1</v>
      </c>
    </row>
    <row r="141" spans="3:9" x14ac:dyDescent="0.35">
      <c r="C141" s="1">
        <v>140</v>
      </c>
      <c r="D141" s="2">
        <v>5</v>
      </c>
      <c r="E141" s="2">
        <f t="shared" si="4"/>
        <v>0.1</v>
      </c>
      <c r="F141" s="2">
        <v>5.64</v>
      </c>
      <c r="G141" s="2">
        <v>1000</v>
      </c>
      <c r="H141" s="2">
        <v>5.5</v>
      </c>
      <c r="I141" s="2">
        <f t="shared" si="5"/>
        <v>0</v>
      </c>
    </row>
    <row r="142" spans="3:9" x14ac:dyDescent="0.35">
      <c r="C142" s="1">
        <v>141</v>
      </c>
      <c r="D142" s="2">
        <v>4</v>
      </c>
      <c r="E142" s="2">
        <f t="shared" si="4"/>
        <v>0.08</v>
      </c>
      <c r="F142" s="2">
        <v>5.51</v>
      </c>
      <c r="G142" s="2">
        <v>1000</v>
      </c>
      <c r="H142" s="2">
        <v>5.73</v>
      </c>
      <c r="I142" s="2">
        <f t="shared" si="5"/>
        <v>0</v>
      </c>
    </row>
    <row r="143" spans="3:9" x14ac:dyDescent="0.35">
      <c r="C143" s="1">
        <v>142</v>
      </c>
      <c r="D143" s="2">
        <v>3</v>
      </c>
      <c r="E143" s="2">
        <f t="shared" si="4"/>
        <v>0.06</v>
      </c>
      <c r="F143" s="2">
        <v>5.64</v>
      </c>
      <c r="G143" s="2">
        <v>1000</v>
      </c>
      <c r="H143" s="2">
        <v>5.54</v>
      </c>
      <c r="I143" s="2">
        <f t="shared" si="5"/>
        <v>0</v>
      </c>
    </row>
    <row r="144" spans="3:9" x14ac:dyDescent="0.35">
      <c r="C144" s="1">
        <v>143</v>
      </c>
      <c r="D144" s="2">
        <v>2</v>
      </c>
      <c r="E144" s="2">
        <f t="shared" si="4"/>
        <v>0.04</v>
      </c>
      <c r="F144" s="2">
        <v>5.51</v>
      </c>
      <c r="G144" s="2">
        <v>1000</v>
      </c>
      <c r="H144" s="2">
        <v>4.9000000000000004</v>
      </c>
      <c r="I144" s="2">
        <f t="shared" si="5"/>
        <v>0</v>
      </c>
    </row>
    <row r="145" spans="3:9" x14ac:dyDescent="0.35">
      <c r="C145" s="1">
        <v>144</v>
      </c>
      <c r="D145" s="2">
        <v>12</v>
      </c>
      <c r="E145" s="2">
        <f t="shared" si="4"/>
        <v>0.24</v>
      </c>
      <c r="F145" s="2">
        <v>4.9800000000000004</v>
      </c>
      <c r="G145" s="2">
        <v>1000</v>
      </c>
      <c r="H145" s="2">
        <v>6.13</v>
      </c>
      <c r="I145" s="2">
        <f t="shared" si="5"/>
        <v>1</v>
      </c>
    </row>
    <row r="146" spans="3:9" x14ac:dyDescent="0.35">
      <c r="C146" s="1">
        <v>145</v>
      </c>
      <c r="D146" s="2">
        <v>11</v>
      </c>
      <c r="E146" s="2">
        <f t="shared" si="4"/>
        <v>0.22</v>
      </c>
      <c r="F146" s="2">
        <v>4.9800000000000004</v>
      </c>
      <c r="G146" s="2">
        <v>1000</v>
      </c>
      <c r="H146" s="2">
        <v>6.18</v>
      </c>
      <c r="I146" s="2">
        <f t="shared" si="5"/>
        <v>1</v>
      </c>
    </row>
    <row r="147" spans="3:9" x14ac:dyDescent="0.35">
      <c r="C147" s="1">
        <v>146</v>
      </c>
      <c r="D147" s="2">
        <v>10</v>
      </c>
      <c r="E147" s="2">
        <f t="shared" si="4"/>
        <v>0.2</v>
      </c>
      <c r="F147" s="2">
        <v>4.9800000000000004</v>
      </c>
      <c r="G147" s="2">
        <v>1000</v>
      </c>
      <c r="H147" s="2">
        <v>6.36</v>
      </c>
      <c r="I147" s="2">
        <f t="shared" si="5"/>
        <v>1</v>
      </c>
    </row>
    <row r="148" spans="3:9" x14ac:dyDescent="0.35">
      <c r="C148" s="1">
        <v>147</v>
      </c>
      <c r="D148" s="2">
        <v>9</v>
      </c>
      <c r="E148" s="2">
        <f t="shared" si="4"/>
        <v>0.18</v>
      </c>
      <c r="F148" s="2">
        <v>4.9800000000000004</v>
      </c>
      <c r="G148" s="2">
        <v>1000</v>
      </c>
      <c r="H148" s="2">
        <v>6.12</v>
      </c>
      <c r="I148" s="2">
        <f t="shared" si="5"/>
        <v>1</v>
      </c>
    </row>
    <row r="149" spans="3:9" x14ac:dyDescent="0.35">
      <c r="C149" s="1">
        <v>148</v>
      </c>
      <c r="D149" s="2">
        <v>8</v>
      </c>
      <c r="E149" s="2">
        <f t="shared" si="4"/>
        <v>0.16</v>
      </c>
      <c r="F149" s="2">
        <v>4.9800000000000004</v>
      </c>
      <c r="G149" s="2">
        <v>1000</v>
      </c>
      <c r="H149" s="2">
        <v>6.3</v>
      </c>
      <c r="I149" s="2">
        <f t="shared" si="5"/>
        <v>1</v>
      </c>
    </row>
    <row r="150" spans="3:9" x14ac:dyDescent="0.35">
      <c r="C150" s="1">
        <v>149</v>
      </c>
      <c r="D150" s="2">
        <v>7</v>
      </c>
      <c r="E150" s="2">
        <f t="shared" si="4"/>
        <v>0.14000000000000001</v>
      </c>
      <c r="F150" s="2">
        <v>4.9800000000000004</v>
      </c>
      <c r="G150" s="2">
        <v>1000</v>
      </c>
      <c r="H150" s="2">
        <v>5.89</v>
      </c>
      <c r="I150" s="2">
        <f t="shared" si="5"/>
        <v>0</v>
      </c>
    </row>
    <row r="151" spans="3:9" x14ac:dyDescent="0.35">
      <c r="C151" s="1">
        <v>150</v>
      </c>
      <c r="D151" s="2">
        <v>6</v>
      </c>
      <c r="E151" s="2">
        <f t="shared" si="4"/>
        <v>0.12</v>
      </c>
      <c r="F151" s="2">
        <v>4.9800000000000004</v>
      </c>
      <c r="G151" s="2">
        <v>1000</v>
      </c>
      <c r="H151" s="2">
        <v>5.93</v>
      </c>
      <c r="I151" s="2">
        <f t="shared" si="5"/>
        <v>1</v>
      </c>
    </row>
    <row r="152" spans="3:9" x14ac:dyDescent="0.35">
      <c r="C152" s="1">
        <v>151</v>
      </c>
      <c r="D152" s="2">
        <v>5</v>
      </c>
      <c r="E152" s="2">
        <f t="shared" si="4"/>
        <v>0.1</v>
      </c>
      <c r="F152" s="2">
        <v>5.1100000000000003</v>
      </c>
      <c r="G152" s="2">
        <v>1000</v>
      </c>
      <c r="H152" s="2">
        <v>5.93</v>
      </c>
      <c r="I152" s="2">
        <f t="shared" si="5"/>
        <v>1</v>
      </c>
    </row>
    <row r="153" spans="3:9" x14ac:dyDescent="0.35">
      <c r="C153" s="1">
        <v>152</v>
      </c>
      <c r="D153" s="2">
        <v>4</v>
      </c>
      <c r="E153" s="2">
        <f t="shared" si="4"/>
        <v>0.08</v>
      </c>
      <c r="F153" s="2">
        <v>5.1100000000000003</v>
      </c>
      <c r="G153" s="2">
        <v>1000</v>
      </c>
      <c r="H153" s="2">
        <v>5.57</v>
      </c>
      <c r="I153" s="2">
        <f t="shared" si="5"/>
        <v>0</v>
      </c>
    </row>
    <row r="154" spans="3:9" x14ac:dyDescent="0.35">
      <c r="C154" s="1">
        <v>153</v>
      </c>
      <c r="D154" s="2">
        <v>3</v>
      </c>
      <c r="E154" s="2">
        <f t="shared" si="4"/>
        <v>0.06</v>
      </c>
      <c r="F154" s="2">
        <v>4.9800000000000004</v>
      </c>
      <c r="G154" s="2">
        <v>1000</v>
      </c>
      <c r="H154" s="2">
        <v>5.13</v>
      </c>
      <c r="I154" s="2">
        <f t="shared" si="5"/>
        <v>0</v>
      </c>
    </row>
    <row r="155" spans="3:9" x14ac:dyDescent="0.35">
      <c r="C155" s="1">
        <v>154</v>
      </c>
      <c r="D155" s="2">
        <v>2</v>
      </c>
      <c r="E155" s="2">
        <f t="shared" si="4"/>
        <v>0.04</v>
      </c>
      <c r="F155" s="2">
        <v>5.1100000000000003</v>
      </c>
      <c r="G155" s="2">
        <v>1000</v>
      </c>
      <c r="H155" s="2">
        <v>4.4400000000000004</v>
      </c>
      <c r="I155" s="2">
        <f t="shared" si="5"/>
        <v>0</v>
      </c>
    </row>
    <row r="156" spans="3:9" x14ac:dyDescent="0.35">
      <c r="C156" s="1">
        <v>155</v>
      </c>
      <c r="D156" s="2">
        <v>12</v>
      </c>
      <c r="E156" s="2">
        <f t="shared" si="4"/>
        <v>0.24</v>
      </c>
      <c r="F156" s="2">
        <v>4.59</v>
      </c>
      <c r="G156" s="2">
        <v>1000</v>
      </c>
      <c r="H156" s="2">
        <v>5.93</v>
      </c>
      <c r="I156" s="2">
        <f t="shared" si="5"/>
        <v>1</v>
      </c>
    </row>
    <row r="157" spans="3:9" x14ac:dyDescent="0.35">
      <c r="C157" s="1">
        <v>156</v>
      </c>
      <c r="D157" s="2">
        <v>11</v>
      </c>
      <c r="E157" s="2">
        <f t="shared" si="4"/>
        <v>0.22</v>
      </c>
      <c r="F157" s="2">
        <v>4.46</v>
      </c>
      <c r="G157" s="2">
        <v>1000</v>
      </c>
      <c r="H157" s="2">
        <v>5.69</v>
      </c>
      <c r="I157" s="2">
        <f t="shared" si="5"/>
        <v>0</v>
      </c>
    </row>
    <row r="158" spans="3:9" x14ac:dyDescent="0.35">
      <c r="C158" s="1">
        <v>157</v>
      </c>
      <c r="D158" s="2">
        <v>10</v>
      </c>
      <c r="E158" s="2">
        <f t="shared" si="4"/>
        <v>0.2</v>
      </c>
      <c r="F158" s="2">
        <v>4.46</v>
      </c>
      <c r="G158" s="2">
        <v>1000</v>
      </c>
      <c r="H158" s="2">
        <v>5.6</v>
      </c>
      <c r="I158" s="2">
        <f t="shared" si="5"/>
        <v>0</v>
      </c>
    </row>
    <row r="159" spans="3:9" x14ac:dyDescent="0.35">
      <c r="C159" s="1">
        <v>158</v>
      </c>
      <c r="D159" s="2">
        <v>9</v>
      </c>
      <c r="E159" s="2">
        <f t="shared" si="4"/>
        <v>0.18</v>
      </c>
      <c r="F159" s="2">
        <v>4.59</v>
      </c>
      <c r="G159" s="2">
        <v>1000</v>
      </c>
      <c r="H159" s="2">
        <v>5.4</v>
      </c>
      <c r="I159" s="2">
        <f t="shared" si="5"/>
        <v>0</v>
      </c>
    </row>
    <row r="160" spans="3:9" x14ac:dyDescent="0.35">
      <c r="C160" s="1">
        <v>159</v>
      </c>
      <c r="D160" s="2">
        <v>8</v>
      </c>
      <c r="E160" s="2">
        <f t="shared" si="4"/>
        <v>0.16</v>
      </c>
      <c r="F160" s="2">
        <v>4.46</v>
      </c>
      <c r="G160" s="2">
        <v>1000</v>
      </c>
      <c r="H160" s="2">
        <v>5.81</v>
      </c>
      <c r="I160" s="2">
        <f t="shared" si="5"/>
        <v>0</v>
      </c>
    </row>
    <row r="161" spans="3:9" x14ac:dyDescent="0.35">
      <c r="C161" s="1">
        <v>160</v>
      </c>
      <c r="D161" s="2">
        <v>7</v>
      </c>
      <c r="E161" s="2">
        <f t="shared" si="4"/>
        <v>0.14000000000000001</v>
      </c>
      <c r="F161" s="2">
        <v>4.46</v>
      </c>
      <c r="G161" s="2">
        <v>1000</v>
      </c>
      <c r="H161" s="2">
        <v>6</v>
      </c>
      <c r="I161" s="2">
        <f t="shared" si="5"/>
        <v>1</v>
      </c>
    </row>
    <row r="162" spans="3:9" x14ac:dyDescent="0.35">
      <c r="C162" s="1">
        <v>161</v>
      </c>
      <c r="D162" s="2">
        <v>6</v>
      </c>
      <c r="E162" s="2">
        <f t="shared" si="4"/>
        <v>0.12</v>
      </c>
      <c r="F162" s="2">
        <v>4.46</v>
      </c>
      <c r="G162" s="2">
        <v>1000</v>
      </c>
      <c r="H162" s="2">
        <v>5.9</v>
      </c>
      <c r="I162" s="2">
        <f t="shared" si="5"/>
        <v>0</v>
      </c>
    </row>
    <row r="163" spans="3:9" x14ac:dyDescent="0.35">
      <c r="C163" s="1">
        <v>162</v>
      </c>
      <c r="D163" s="2">
        <v>5</v>
      </c>
      <c r="E163" s="2">
        <f t="shared" si="4"/>
        <v>0.1</v>
      </c>
      <c r="F163" s="2">
        <v>4.46</v>
      </c>
      <c r="G163" s="2">
        <v>1000</v>
      </c>
      <c r="H163" s="2">
        <v>5.5</v>
      </c>
      <c r="I163" s="2">
        <f t="shared" si="5"/>
        <v>0</v>
      </c>
    </row>
    <row r="164" spans="3:9" x14ac:dyDescent="0.35">
      <c r="C164" s="1">
        <v>163</v>
      </c>
      <c r="D164" s="2">
        <v>4</v>
      </c>
      <c r="E164" s="2">
        <f t="shared" si="4"/>
        <v>0.08</v>
      </c>
      <c r="F164" s="2">
        <v>4.59</v>
      </c>
      <c r="G164" s="2">
        <v>1000</v>
      </c>
      <c r="H164" s="2">
        <v>5.29</v>
      </c>
      <c r="I164" s="2">
        <f t="shared" si="5"/>
        <v>0</v>
      </c>
    </row>
    <row r="165" spans="3:9" x14ac:dyDescent="0.35">
      <c r="C165" s="1">
        <v>164</v>
      </c>
      <c r="D165" s="2">
        <v>3</v>
      </c>
      <c r="E165" s="2">
        <f t="shared" si="4"/>
        <v>0.06</v>
      </c>
      <c r="F165" s="2">
        <v>4.59</v>
      </c>
      <c r="G165" s="2">
        <v>1000</v>
      </c>
      <c r="H165" s="2">
        <v>4.75</v>
      </c>
      <c r="I165" s="2">
        <f t="shared" si="5"/>
        <v>0</v>
      </c>
    </row>
    <row r="166" spans="3:9" x14ac:dyDescent="0.35">
      <c r="C166" s="1">
        <v>165</v>
      </c>
      <c r="D166" s="2">
        <v>2</v>
      </c>
      <c r="E166" s="2">
        <f t="shared" si="4"/>
        <v>0.04</v>
      </c>
      <c r="F166" s="2">
        <v>4.59</v>
      </c>
      <c r="G166" s="2">
        <v>1000</v>
      </c>
      <c r="H166" s="2">
        <v>4.3</v>
      </c>
      <c r="I166" s="2">
        <f t="shared" si="5"/>
        <v>0</v>
      </c>
    </row>
    <row r="167" spans="3:9" x14ac:dyDescent="0.35">
      <c r="C167" s="1">
        <v>166</v>
      </c>
      <c r="D167" s="2">
        <v>12</v>
      </c>
      <c r="E167" s="2">
        <f t="shared" si="4"/>
        <v>0.24</v>
      </c>
      <c r="F167" s="2">
        <v>4.0599999999999996</v>
      </c>
      <c r="G167" s="2">
        <v>1000</v>
      </c>
      <c r="H167" s="2">
        <v>4.57</v>
      </c>
      <c r="I167" s="2">
        <f t="shared" si="5"/>
        <v>0</v>
      </c>
    </row>
    <row r="168" spans="3:9" x14ac:dyDescent="0.35">
      <c r="C168" s="1">
        <v>167</v>
      </c>
      <c r="D168" s="2">
        <v>11</v>
      </c>
      <c r="E168" s="2">
        <f t="shared" si="4"/>
        <v>0.22</v>
      </c>
      <c r="F168" s="2">
        <v>3.93</v>
      </c>
      <c r="G168" s="2">
        <v>1000</v>
      </c>
      <c r="H168" s="2">
        <v>5.18</v>
      </c>
      <c r="I168" s="2">
        <f t="shared" si="5"/>
        <v>0</v>
      </c>
    </row>
    <row r="169" spans="3:9" x14ac:dyDescent="0.35">
      <c r="C169" s="1">
        <v>168</v>
      </c>
      <c r="D169" s="2">
        <v>10</v>
      </c>
      <c r="E169" s="2">
        <f t="shared" si="4"/>
        <v>0.2</v>
      </c>
      <c r="F169" s="2">
        <v>3.93</v>
      </c>
      <c r="G169" s="2">
        <v>1000</v>
      </c>
      <c r="H169" s="2">
        <v>5</v>
      </c>
      <c r="I169" s="2">
        <f t="shared" si="5"/>
        <v>0</v>
      </c>
    </row>
    <row r="170" spans="3:9" x14ac:dyDescent="0.35">
      <c r="C170" s="1">
        <v>169</v>
      </c>
      <c r="D170" s="2">
        <v>9</v>
      </c>
      <c r="E170" s="2">
        <f t="shared" si="4"/>
        <v>0.18</v>
      </c>
      <c r="F170" s="2">
        <v>4.0599999999999996</v>
      </c>
      <c r="G170" s="2">
        <v>1000</v>
      </c>
      <c r="H170" s="2">
        <v>5.35</v>
      </c>
      <c r="I170" s="2">
        <f t="shared" si="5"/>
        <v>0</v>
      </c>
    </row>
    <row r="171" spans="3:9" x14ac:dyDescent="0.35">
      <c r="C171" s="1">
        <v>170</v>
      </c>
      <c r="D171" s="2">
        <v>8</v>
      </c>
      <c r="E171" s="2">
        <f t="shared" si="4"/>
        <v>0.16</v>
      </c>
      <c r="F171" s="2">
        <v>3.93</v>
      </c>
      <c r="G171" s="2">
        <v>1000</v>
      </c>
      <c r="H171" s="2">
        <v>5.65</v>
      </c>
      <c r="I171" s="2">
        <f t="shared" si="5"/>
        <v>0</v>
      </c>
    </row>
    <row r="172" spans="3:9" x14ac:dyDescent="0.35">
      <c r="C172" s="1">
        <v>171</v>
      </c>
      <c r="D172" s="2">
        <v>7</v>
      </c>
      <c r="E172" s="2">
        <f t="shared" si="4"/>
        <v>0.14000000000000001</v>
      </c>
      <c r="F172" s="2">
        <v>3.93</v>
      </c>
      <c r="G172" s="2">
        <v>1000</v>
      </c>
      <c r="H172" s="2">
        <v>5.17</v>
      </c>
      <c r="I172" s="2">
        <f t="shared" si="5"/>
        <v>0</v>
      </c>
    </row>
    <row r="173" spans="3:9" x14ac:dyDescent="0.35">
      <c r="C173" s="1">
        <v>172</v>
      </c>
      <c r="D173" s="2">
        <v>6</v>
      </c>
      <c r="E173" s="2">
        <f t="shared" si="4"/>
        <v>0.12</v>
      </c>
      <c r="F173" s="2">
        <v>4.0599999999999996</v>
      </c>
      <c r="G173" s="2">
        <v>1000</v>
      </c>
      <c r="H173" s="2">
        <v>4.7300000000000004</v>
      </c>
      <c r="I173" s="2">
        <f t="shared" si="5"/>
        <v>0</v>
      </c>
    </row>
    <row r="174" spans="3:9" x14ac:dyDescent="0.35">
      <c r="C174" s="1">
        <v>173</v>
      </c>
      <c r="D174" s="2">
        <v>5</v>
      </c>
      <c r="E174" s="2">
        <f t="shared" si="4"/>
        <v>0.1</v>
      </c>
      <c r="F174" s="2">
        <v>4.0599999999999996</v>
      </c>
      <c r="G174" s="2">
        <v>1000</v>
      </c>
      <c r="H174" s="2">
        <v>4.97</v>
      </c>
      <c r="I174" s="2">
        <f t="shared" si="5"/>
        <v>0</v>
      </c>
    </row>
    <row r="175" spans="3:9" x14ac:dyDescent="0.35">
      <c r="C175" s="1">
        <v>174</v>
      </c>
      <c r="D175" s="2">
        <v>4</v>
      </c>
      <c r="E175" s="2">
        <f t="shared" si="4"/>
        <v>0.08</v>
      </c>
      <c r="F175" s="2">
        <v>4.0599999999999996</v>
      </c>
      <c r="G175" s="2">
        <v>1000</v>
      </c>
      <c r="H175" s="2">
        <v>4.68</v>
      </c>
      <c r="I175" s="2">
        <f t="shared" si="5"/>
        <v>0</v>
      </c>
    </row>
    <row r="176" spans="3:9" x14ac:dyDescent="0.35">
      <c r="C176" s="1">
        <v>175</v>
      </c>
      <c r="D176" s="2">
        <v>3</v>
      </c>
      <c r="E176" s="2">
        <f t="shared" si="4"/>
        <v>0.06</v>
      </c>
      <c r="F176" s="2">
        <v>4.0599999999999996</v>
      </c>
      <c r="G176" s="2">
        <v>1000</v>
      </c>
      <c r="H176" s="2">
        <v>4.3499999999999996</v>
      </c>
      <c r="I176" s="2">
        <f t="shared" si="5"/>
        <v>0</v>
      </c>
    </row>
    <row r="177" spans="3:9" x14ac:dyDescent="0.35">
      <c r="C177" s="1">
        <v>176</v>
      </c>
      <c r="D177" s="2">
        <v>2</v>
      </c>
      <c r="E177" s="2">
        <f t="shared" si="4"/>
        <v>0.04</v>
      </c>
      <c r="F177" s="2">
        <v>4.0599999999999996</v>
      </c>
      <c r="G177" s="2">
        <v>1000</v>
      </c>
      <c r="H177" s="2">
        <v>3.8</v>
      </c>
      <c r="I177" s="2">
        <f t="shared" si="5"/>
        <v>0</v>
      </c>
    </row>
    <row r="178" spans="3:9" x14ac:dyDescent="0.35">
      <c r="C178" s="1">
        <v>177</v>
      </c>
      <c r="D178" s="2">
        <v>12</v>
      </c>
      <c r="E178" s="2">
        <f t="shared" si="4"/>
        <v>0.24</v>
      </c>
      <c r="F178" s="2">
        <v>3.54</v>
      </c>
      <c r="G178" s="2">
        <v>1000</v>
      </c>
      <c r="H178" s="2">
        <v>4.63</v>
      </c>
      <c r="I178" s="2">
        <f t="shared" si="5"/>
        <v>0</v>
      </c>
    </row>
    <row r="179" spans="3:9" x14ac:dyDescent="0.35">
      <c r="C179" s="1">
        <v>178</v>
      </c>
      <c r="D179" s="2">
        <v>11</v>
      </c>
      <c r="E179" s="2">
        <f t="shared" si="4"/>
        <v>0.22</v>
      </c>
      <c r="F179" s="2">
        <v>3.54</v>
      </c>
      <c r="G179" s="2">
        <v>1000</v>
      </c>
      <c r="H179" s="2">
        <v>4.5</v>
      </c>
      <c r="I179" s="2">
        <f t="shared" si="5"/>
        <v>0</v>
      </c>
    </row>
    <row r="180" spans="3:9" x14ac:dyDescent="0.35">
      <c r="C180" s="1">
        <v>179</v>
      </c>
      <c r="D180" s="2">
        <v>10</v>
      </c>
      <c r="E180" s="2">
        <f t="shared" si="4"/>
        <v>0.2</v>
      </c>
      <c r="F180" s="2">
        <v>3.41</v>
      </c>
      <c r="G180" s="2">
        <v>1000</v>
      </c>
      <c r="H180" s="2">
        <v>4.09</v>
      </c>
      <c r="I180" s="2">
        <f t="shared" si="5"/>
        <v>0</v>
      </c>
    </row>
    <row r="181" spans="3:9" x14ac:dyDescent="0.35">
      <c r="C181" s="1">
        <v>180</v>
      </c>
      <c r="D181" s="2">
        <v>9</v>
      </c>
      <c r="E181" s="2">
        <f t="shared" si="4"/>
        <v>0.18</v>
      </c>
      <c r="F181" s="2">
        <v>3.54</v>
      </c>
      <c r="G181" s="2">
        <v>1000</v>
      </c>
      <c r="H181" s="2">
        <v>4.9400000000000004</v>
      </c>
      <c r="I181" s="2">
        <f t="shared" si="5"/>
        <v>0</v>
      </c>
    </row>
    <row r="182" spans="3:9" x14ac:dyDescent="0.35">
      <c r="C182" s="1">
        <v>181</v>
      </c>
      <c r="D182" s="2">
        <v>8</v>
      </c>
      <c r="E182" s="2">
        <f t="shared" si="4"/>
        <v>0.16</v>
      </c>
      <c r="F182" s="2">
        <v>3.41</v>
      </c>
      <c r="G182" s="2">
        <v>1000</v>
      </c>
      <c r="H182" s="2">
        <v>4.76</v>
      </c>
      <c r="I182" s="2">
        <f t="shared" si="5"/>
        <v>0</v>
      </c>
    </row>
    <row r="183" spans="3:9" x14ac:dyDescent="0.35">
      <c r="C183" s="1">
        <v>182</v>
      </c>
      <c r="D183" s="2">
        <v>7</v>
      </c>
      <c r="E183" s="2">
        <f t="shared" si="4"/>
        <v>0.14000000000000001</v>
      </c>
      <c r="F183" s="2">
        <v>3.54</v>
      </c>
      <c r="G183" s="2">
        <v>1000</v>
      </c>
      <c r="H183" s="2">
        <v>4.7699999999999996</v>
      </c>
      <c r="I183" s="2">
        <f t="shared" si="5"/>
        <v>0</v>
      </c>
    </row>
    <row r="184" spans="3:9" x14ac:dyDescent="0.35">
      <c r="C184" s="1">
        <v>183</v>
      </c>
      <c r="D184" s="2">
        <v>6</v>
      </c>
      <c r="E184" s="2">
        <f t="shared" si="4"/>
        <v>0.12</v>
      </c>
      <c r="F184" s="2">
        <v>3.41</v>
      </c>
      <c r="G184" s="2">
        <v>1000</v>
      </c>
      <c r="H184" s="2">
        <v>4.75</v>
      </c>
      <c r="I184" s="2">
        <f t="shared" si="5"/>
        <v>0</v>
      </c>
    </row>
    <row r="185" spans="3:9" x14ac:dyDescent="0.35">
      <c r="C185" s="1">
        <v>184</v>
      </c>
      <c r="D185" s="2">
        <v>5</v>
      </c>
      <c r="E185" s="2">
        <f t="shared" si="4"/>
        <v>0.1</v>
      </c>
      <c r="F185" s="2">
        <v>3.41</v>
      </c>
      <c r="G185" s="2">
        <v>1000</v>
      </c>
      <c r="H185" s="2">
        <v>4.2</v>
      </c>
      <c r="I185" s="2">
        <f t="shared" si="5"/>
        <v>0</v>
      </c>
    </row>
    <row r="186" spans="3:9" x14ac:dyDescent="0.35">
      <c r="C186" s="1">
        <v>185</v>
      </c>
      <c r="D186" s="2">
        <v>4</v>
      </c>
      <c r="E186" s="2">
        <f t="shared" si="4"/>
        <v>0.08</v>
      </c>
      <c r="F186" s="2">
        <v>3.54</v>
      </c>
      <c r="G186" s="2">
        <v>1000</v>
      </c>
      <c r="H186" s="2">
        <v>4.21</v>
      </c>
      <c r="I186" s="2">
        <f t="shared" si="5"/>
        <v>0</v>
      </c>
    </row>
    <row r="187" spans="3:9" x14ac:dyDescent="0.35">
      <c r="C187" s="1">
        <v>186</v>
      </c>
      <c r="D187" s="2">
        <v>3</v>
      </c>
      <c r="E187" s="2">
        <f t="shared" si="4"/>
        <v>0.06</v>
      </c>
      <c r="F187" s="2">
        <v>3.41</v>
      </c>
      <c r="G187" s="2">
        <v>1000</v>
      </c>
      <c r="H187" s="2">
        <v>3.98</v>
      </c>
      <c r="I187" s="2">
        <f t="shared" si="5"/>
        <v>0</v>
      </c>
    </row>
    <row r="188" spans="3:9" x14ac:dyDescent="0.35">
      <c r="C188" s="1">
        <v>187</v>
      </c>
      <c r="D188" s="2">
        <v>2</v>
      </c>
      <c r="E188" s="2">
        <f t="shared" si="4"/>
        <v>0.04</v>
      </c>
      <c r="F188" s="2">
        <v>3.54</v>
      </c>
      <c r="G188" s="2">
        <v>1000</v>
      </c>
      <c r="H188" s="2">
        <v>3.52</v>
      </c>
      <c r="I188" s="2">
        <f t="shared" si="5"/>
        <v>0</v>
      </c>
    </row>
    <row r="189" spans="3:9" x14ac:dyDescent="0.35">
      <c r="C189" s="1">
        <v>188</v>
      </c>
      <c r="D189" s="2">
        <v>12</v>
      </c>
      <c r="E189" s="2">
        <f t="shared" si="4"/>
        <v>0.24</v>
      </c>
      <c r="F189" s="2">
        <v>2.88</v>
      </c>
      <c r="G189" s="2">
        <v>1000</v>
      </c>
      <c r="H189" s="2">
        <v>4.0599999999999996</v>
      </c>
      <c r="I189" s="2">
        <f t="shared" si="5"/>
        <v>0</v>
      </c>
    </row>
    <row r="190" spans="3:9" x14ac:dyDescent="0.35">
      <c r="C190" s="1">
        <v>189</v>
      </c>
      <c r="D190" s="2">
        <v>11</v>
      </c>
      <c r="E190" s="2">
        <f t="shared" si="4"/>
        <v>0.22</v>
      </c>
      <c r="F190" s="2">
        <v>3.01</v>
      </c>
      <c r="G190" s="2">
        <v>1000</v>
      </c>
      <c r="H190" s="2">
        <v>4.1399999999999997</v>
      </c>
      <c r="I190" s="2">
        <f t="shared" si="5"/>
        <v>0</v>
      </c>
    </row>
    <row r="191" spans="3:9" x14ac:dyDescent="0.35">
      <c r="C191" s="1">
        <v>190</v>
      </c>
      <c r="D191" s="2">
        <v>10</v>
      </c>
      <c r="E191" s="2">
        <f t="shared" si="4"/>
        <v>0.2</v>
      </c>
      <c r="F191" s="2">
        <v>3.01</v>
      </c>
      <c r="G191" s="2">
        <v>1000</v>
      </c>
      <c r="H191" s="2">
        <v>3.67</v>
      </c>
      <c r="I191" s="2">
        <f t="shared" si="5"/>
        <v>0</v>
      </c>
    </row>
    <row r="192" spans="3:9" x14ac:dyDescent="0.35">
      <c r="C192" s="1">
        <v>191</v>
      </c>
      <c r="D192" s="2">
        <v>9</v>
      </c>
      <c r="E192" s="2">
        <f t="shared" si="4"/>
        <v>0.18</v>
      </c>
      <c r="F192" s="2">
        <v>3.01</v>
      </c>
      <c r="G192" s="2">
        <v>1000</v>
      </c>
      <c r="H192" s="2">
        <v>3.52</v>
      </c>
      <c r="I192" s="2">
        <f t="shared" si="5"/>
        <v>0</v>
      </c>
    </row>
    <row r="193" spans="3:9" x14ac:dyDescent="0.35">
      <c r="C193" s="1">
        <v>192</v>
      </c>
      <c r="D193" s="2">
        <v>8</v>
      </c>
      <c r="E193" s="2">
        <f t="shared" si="4"/>
        <v>0.16</v>
      </c>
      <c r="F193" s="2">
        <v>3.01</v>
      </c>
      <c r="G193" s="2">
        <v>1000</v>
      </c>
      <c r="H193" s="2">
        <v>4.24</v>
      </c>
      <c r="I193" s="2">
        <f t="shared" si="5"/>
        <v>0</v>
      </c>
    </row>
    <row r="194" spans="3:9" x14ac:dyDescent="0.35">
      <c r="C194" s="1">
        <v>193</v>
      </c>
      <c r="D194" s="2">
        <v>7</v>
      </c>
      <c r="E194" s="2">
        <f t="shared" ref="E194:E257" si="6">D194/50</f>
        <v>0.14000000000000001</v>
      </c>
      <c r="F194" s="2">
        <v>3.01</v>
      </c>
      <c r="G194" s="2">
        <v>1000</v>
      </c>
      <c r="H194" s="2">
        <v>4.22</v>
      </c>
      <c r="I194" s="2">
        <f t="shared" ref="I194:I257" si="7">IF(H194&lt;5.93,0,1)</f>
        <v>0</v>
      </c>
    </row>
    <row r="195" spans="3:9" x14ac:dyDescent="0.35">
      <c r="C195" s="1">
        <v>194</v>
      </c>
      <c r="D195" s="2">
        <v>6</v>
      </c>
      <c r="E195" s="2">
        <f t="shared" si="6"/>
        <v>0.12</v>
      </c>
      <c r="F195" s="2">
        <v>3.01</v>
      </c>
      <c r="G195" s="2">
        <v>1000</v>
      </c>
      <c r="H195" s="2">
        <v>3.76</v>
      </c>
      <c r="I195" s="2">
        <f t="shared" si="7"/>
        <v>0</v>
      </c>
    </row>
    <row r="196" spans="3:9" x14ac:dyDescent="0.35">
      <c r="C196" s="1">
        <v>195</v>
      </c>
      <c r="D196" s="2">
        <v>5</v>
      </c>
      <c r="E196" s="2">
        <f t="shared" si="6"/>
        <v>0.1</v>
      </c>
      <c r="F196" s="2">
        <v>3.01</v>
      </c>
      <c r="G196" s="2">
        <v>1000</v>
      </c>
      <c r="H196" s="2">
        <v>3.82</v>
      </c>
      <c r="I196" s="2">
        <f t="shared" si="7"/>
        <v>0</v>
      </c>
    </row>
    <row r="197" spans="3:9" x14ac:dyDescent="0.35">
      <c r="C197" s="1">
        <v>196</v>
      </c>
      <c r="D197" s="2">
        <v>4</v>
      </c>
      <c r="E197" s="2">
        <f t="shared" si="6"/>
        <v>0.08</v>
      </c>
      <c r="F197" s="2">
        <v>2.88</v>
      </c>
      <c r="G197" s="2">
        <v>1000</v>
      </c>
      <c r="H197" s="2">
        <v>3.74</v>
      </c>
      <c r="I197" s="2">
        <f t="shared" si="7"/>
        <v>0</v>
      </c>
    </row>
    <row r="198" spans="3:9" x14ac:dyDescent="0.35">
      <c r="C198" s="1">
        <v>197</v>
      </c>
      <c r="D198" s="2">
        <v>3</v>
      </c>
      <c r="E198" s="2">
        <f t="shared" si="6"/>
        <v>0.06</v>
      </c>
      <c r="F198" s="2">
        <v>3.01</v>
      </c>
      <c r="G198" s="2">
        <v>1000</v>
      </c>
      <c r="H198" s="2">
        <v>3.26</v>
      </c>
      <c r="I198" s="2">
        <f t="shared" si="7"/>
        <v>0</v>
      </c>
    </row>
    <row r="199" spans="3:9" x14ac:dyDescent="0.35">
      <c r="C199" s="1">
        <v>198</v>
      </c>
      <c r="D199" s="2">
        <v>2</v>
      </c>
      <c r="E199" s="2">
        <f t="shared" si="6"/>
        <v>0.04</v>
      </c>
      <c r="F199" s="2">
        <v>2.88</v>
      </c>
      <c r="G199" s="2">
        <v>1000</v>
      </c>
      <c r="H199" s="2">
        <v>3.2</v>
      </c>
      <c r="I199" s="2">
        <f t="shared" si="7"/>
        <v>0</v>
      </c>
    </row>
    <row r="200" spans="3:9" x14ac:dyDescent="0.35">
      <c r="C200" s="1">
        <v>199</v>
      </c>
      <c r="D200" s="2">
        <v>12</v>
      </c>
      <c r="E200" s="2">
        <f t="shared" si="6"/>
        <v>0.24</v>
      </c>
      <c r="F200" s="2">
        <v>2.09</v>
      </c>
      <c r="G200" s="2">
        <v>1000</v>
      </c>
      <c r="H200" s="2">
        <v>2.94</v>
      </c>
      <c r="I200" s="2">
        <f t="shared" si="7"/>
        <v>0</v>
      </c>
    </row>
    <row r="201" spans="3:9" x14ac:dyDescent="0.35">
      <c r="C201" s="1">
        <v>200</v>
      </c>
      <c r="D201" s="2">
        <v>11</v>
      </c>
      <c r="E201" s="2">
        <f t="shared" si="6"/>
        <v>0.22</v>
      </c>
      <c r="F201" s="2">
        <v>1.96</v>
      </c>
      <c r="G201" s="2">
        <v>1000</v>
      </c>
      <c r="H201" s="2">
        <v>3.64</v>
      </c>
      <c r="I201" s="2">
        <f t="shared" si="7"/>
        <v>0</v>
      </c>
    </row>
    <row r="202" spans="3:9" x14ac:dyDescent="0.35">
      <c r="C202" s="1">
        <v>201</v>
      </c>
      <c r="D202" s="2">
        <v>10</v>
      </c>
      <c r="E202" s="2">
        <f t="shared" si="6"/>
        <v>0.2</v>
      </c>
      <c r="F202" s="2">
        <v>2.09</v>
      </c>
      <c r="G202" s="2">
        <v>1000</v>
      </c>
      <c r="H202" s="2">
        <v>3.19</v>
      </c>
      <c r="I202" s="2">
        <f t="shared" si="7"/>
        <v>0</v>
      </c>
    </row>
    <row r="203" spans="3:9" x14ac:dyDescent="0.35">
      <c r="C203" s="1">
        <v>202</v>
      </c>
      <c r="D203" s="2">
        <v>9</v>
      </c>
      <c r="E203" s="2">
        <f t="shared" si="6"/>
        <v>0.18</v>
      </c>
      <c r="F203" s="2">
        <v>1.96</v>
      </c>
      <c r="G203" s="2">
        <v>1000</v>
      </c>
      <c r="H203" s="2">
        <v>3.22</v>
      </c>
      <c r="I203" s="2">
        <f t="shared" si="7"/>
        <v>0</v>
      </c>
    </row>
    <row r="204" spans="3:9" x14ac:dyDescent="0.35">
      <c r="C204" s="1">
        <v>203</v>
      </c>
      <c r="D204" s="2">
        <v>8</v>
      </c>
      <c r="E204" s="2">
        <f t="shared" si="6"/>
        <v>0.16</v>
      </c>
      <c r="F204" s="2">
        <v>1.96</v>
      </c>
      <c r="G204" s="2">
        <v>1000</v>
      </c>
      <c r="H204" s="2">
        <v>3.29</v>
      </c>
      <c r="I204" s="2">
        <f t="shared" si="7"/>
        <v>0</v>
      </c>
    </row>
    <row r="205" spans="3:9" x14ac:dyDescent="0.35">
      <c r="C205" s="1">
        <v>204</v>
      </c>
      <c r="D205" s="2">
        <v>7</v>
      </c>
      <c r="E205" s="2">
        <f t="shared" si="6"/>
        <v>0.14000000000000001</v>
      </c>
      <c r="F205" s="2">
        <v>1.96</v>
      </c>
      <c r="G205" s="2">
        <v>1000</v>
      </c>
      <c r="H205" s="2">
        <v>3.14</v>
      </c>
      <c r="I205" s="2">
        <f t="shared" si="7"/>
        <v>0</v>
      </c>
    </row>
    <row r="206" spans="3:9" x14ac:dyDescent="0.35">
      <c r="C206" s="1">
        <v>205</v>
      </c>
      <c r="D206" s="2">
        <v>6</v>
      </c>
      <c r="E206" s="2">
        <f t="shared" si="6"/>
        <v>0.12</v>
      </c>
      <c r="F206" s="2">
        <v>1.96</v>
      </c>
      <c r="G206" s="2">
        <v>1000</v>
      </c>
      <c r="H206" s="2">
        <v>3.07</v>
      </c>
      <c r="I206" s="2">
        <f t="shared" si="7"/>
        <v>0</v>
      </c>
    </row>
    <row r="207" spans="3:9" x14ac:dyDescent="0.35">
      <c r="C207" s="1">
        <v>206</v>
      </c>
      <c r="D207" s="2">
        <v>5</v>
      </c>
      <c r="E207" s="2">
        <f t="shared" si="6"/>
        <v>0.1</v>
      </c>
      <c r="F207" s="2">
        <v>1.96</v>
      </c>
      <c r="G207" s="2">
        <v>1000</v>
      </c>
      <c r="H207" s="2">
        <v>2.78</v>
      </c>
      <c r="I207" s="2">
        <f t="shared" si="7"/>
        <v>0</v>
      </c>
    </row>
    <row r="208" spans="3:9" x14ac:dyDescent="0.35">
      <c r="C208" s="1">
        <v>207</v>
      </c>
      <c r="D208" s="2">
        <v>4</v>
      </c>
      <c r="E208" s="2">
        <f t="shared" si="6"/>
        <v>0.08</v>
      </c>
      <c r="F208" s="2">
        <v>1.96</v>
      </c>
      <c r="G208" s="2">
        <v>1000</v>
      </c>
      <c r="H208" s="2">
        <v>2.38</v>
      </c>
      <c r="I208" s="2">
        <f t="shared" si="7"/>
        <v>0</v>
      </c>
    </row>
    <row r="209" spans="3:9" x14ac:dyDescent="0.35">
      <c r="C209" s="1">
        <v>208</v>
      </c>
      <c r="D209" s="2">
        <v>3</v>
      </c>
      <c r="E209" s="2">
        <f t="shared" si="6"/>
        <v>0.06</v>
      </c>
      <c r="F209" s="2">
        <v>1.96</v>
      </c>
      <c r="G209" s="2">
        <v>1000</v>
      </c>
      <c r="H209" s="2">
        <v>2.29</v>
      </c>
      <c r="I209" s="2">
        <f t="shared" si="7"/>
        <v>0</v>
      </c>
    </row>
    <row r="210" spans="3:9" x14ac:dyDescent="0.35">
      <c r="C210" s="1">
        <v>209</v>
      </c>
      <c r="D210" s="2">
        <v>2</v>
      </c>
      <c r="E210" s="2">
        <f t="shared" si="6"/>
        <v>0.04</v>
      </c>
      <c r="F210" s="2">
        <v>1.96</v>
      </c>
      <c r="G210" s="2">
        <v>1000</v>
      </c>
      <c r="H210" s="2">
        <v>2.21</v>
      </c>
      <c r="I210" s="2">
        <f t="shared" si="7"/>
        <v>0</v>
      </c>
    </row>
    <row r="211" spans="3:9" x14ac:dyDescent="0.35">
      <c r="C211" s="1">
        <v>210</v>
      </c>
      <c r="D211" s="2">
        <v>12</v>
      </c>
      <c r="E211" s="2">
        <f t="shared" si="6"/>
        <v>0.24</v>
      </c>
      <c r="F211" s="2">
        <v>2.4900000000000002</v>
      </c>
      <c r="G211" s="2">
        <v>1000</v>
      </c>
      <c r="H211" s="2">
        <v>4.3600000000000003</v>
      </c>
      <c r="I211" s="2">
        <f t="shared" si="7"/>
        <v>0</v>
      </c>
    </row>
    <row r="212" spans="3:9" x14ac:dyDescent="0.35">
      <c r="C212" s="1">
        <v>211</v>
      </c>
      <c r="D212" s="2">
        <v>11</v>
      </c>
      <c r="E212" s="2">
        <f t="shared" si="6"/>
        <v>0.22</v>
      </c>
      <c r="F212" s="2">
        <v>2.62</v>
      </c>
      <c r="G212" s="2">
        <v>1000</v>
      </c>
      <c r="H212" s="2">
        <v>3.42</v>
      </c>
      <c r="I212" s="2">
        <f t="shared" si="7"/>
        <v>0</v>
      </c>
    </row>
    <row r="213" spans="3:9" x14ac:dyDescent="0.35">
      <c r="C213" s="1">
        <v>212</v>
      </c>
      <c r="D213" s="2">
        <v>10</v>
      </c>
      <c r="E213" s="2">
        <f t="shared" si="6"/>
        <v>0.2</v>
      </c>
      <c r="F213" s="2">
        <v>2.4900000000000002</v>
      </c>
      <c r="G213" s="2">
        <v>1000</v>
      </c>
      <c r="H213" s="2">
        <v>3.19</v>
      </c>
      <c r="I213" s="2">
        <f t="shared" si="7"/>
        <v>0</v>
      </c>
    </row>
    <row r="214" spans="3:9" x14ac:dyDescent="0.35">
      <c r="C214" s="1">
        <v>213</v>
      </c>
      <c r="D214" s="2">
        <v>9</v>
      </c>
      <c r="E214" s="2">
        <f t="shared" si="6"/>
        <v>0.18</v>
      </c>
      <c r="F214" s="2">
        <v>2.4900000000000002</v>
      </c>
      <c r="G214" s="2">
        <v>1000</v>
      </c>
      <c r="H214" s="2">
        <v>3.69</v>
      </c>
      <c r="I214" s="2">
        <f t="shared" si="7"/>
        <v>0</v>
      </c>
    </row>
    <row r="215" spans="3:9" x14ac:dyDescent="0.35">
      <c r="C215" s="1">
        <v>214</v>
      </c>
      <c r="D215" s="2">
        <v>8</v>
      </c>
      <c r="E215" s="2">
        <f t="shared" si="6"/>
        <v>0.16</v>
      </c>
      <c r="F215" s="2">
        <v>2.4900000000000002</v>
      </c>
      <c r="G215" s="2">
        <v>1000</v>
      </c>
      <c r="H215" s="2">
        <v>3.19</v>
      </c>
      <c r="I215" s="2">
        <f t="shared" si="7"/>
        <v>0</v>
      </c>
    </row>
    <row r="216" spans="3:9" x14ac:dyDescent="0.35">
      <c r="C216" s="1">
        <v>215</v>
      </c>
      <c r="D216" s="2">
        <v>7</v>
      </c>
      <c r="E216" s="2">
        <f t="shared" si="6"/>
        <v>0.14000000000000001</v>
      </c>
      <c r="F216" s="2">
        <v>2.4900000000000002</v>
      </c>
      <c r="G216" s="2">
        <v>1000</v>
      </c>
      <c r="H216" s="2">
        <v>3.21</v>
      </c>
      <c r="I216" s="2">
        <f t="shared" si="7"/>
        <v>0</v>
      </c>
    </row>
    <row r="217" spans="3:9" x14ac:dyDescent="0.35">
      <c r="C217" s="1">
        <v>216</v>
      </c>
      <c r="D217" s="2">
        <v>6</v>
      </c>
      <c r="E217" s="2">
        <f t="shared" si="6"/>
        <v>0.12</v>
      </c>
      <c r="F217" s="2">
        <v>2.4900000000000002</v>
      </c>
      <c r="G217" s="2">
        <v>1000</v>
      </c>
      <c r="H217" s="2">
        <v>3.2</v>
      </c>
      <c r="I217" s="2">
        <f t="shared" si="7"/>
        <v>0</v>
      </c>
    </row>
    <row r="218" spans="3:9" x14ac:dyDescent="0.35">
      <c r="C218" s="1">
        <v>217</v>
      </c>
      <c r="D218" s="2">
        <v>5</v>
      </c>
      <c r="E218" s="2">
        <f t="shared" si="6"/>
        <v>0.1</v>
      </c>
      <c r="F218" s="2">
        <v>2.4900000000000002</v>
      </c>
      <c r="G218" s="2">
        <v>1000</v>
      </c>
      <c r="H218" s="2">
        <v>3.26</v>
      </c>
      <c r="I218" s="2">
        <f t="shared" si="7"/>
        <v>0</v>
      </c>
    </row>
    <row r="219" spans="3:9" x14ac:dyDescent="0.35">
      <c r="C219" s="1">
        <v>218</v>
      </c>
      <c r="D219" s="2">
        <v>4</v>
      </c>
      <c r="E219" s="2">
        <f t="shared" si="6"/>
        <v>0.08</v>
      </c>
      <c r="F219" s="2">
        <v>2.4900000000000002</v>
      </c>
      <c r="G219" s="2">
        <v>1000</v>
      </c>
      <c r="H219" s="2">
        <v>2.92</v>
      </c>
      <c r="I219" s="2">
        <f t="shared" si="7"/>
        <v>0</v>
      </c>
    </row>
    <row r="220" spans="3:9" x14ac:dyDescent="0.35">
      <c r="C220" s="1">
        <v>219</v>
      </c>
      <c r="D220" s="2">
        <v>3</v>
      </c>
      <c r="E220" s="2">
        <f t="shared" si="6"/>
        <v>0.06</v>
      </c>
      <c r="F220" s="2">
        <v>2.4900000000000002</v>
      </c>
      <c r="G220" s="2">
        <v>1000</v>
      </c>
      <c r="H220" s="2">
        <v>2.95</v>
      </c>
      <c r="I220" s="2">
        <f t="shared" si="7"/>
        <v>0</v>
      </c>
    </row>
    <row r="221" spans="3:9" x14ac:dyDescent="0.35">
      <c r="C221" s="1">
        <v>220</v>
      </c>
      <c r="D221" s="2">
        <v>2</v>
      </c>
      <c r="E221" s="2">
        <f t="shared" si="6"/>
        <v>0.04</v>
      </c>
      <c r="F221" s="2">
        <v>2.4900000000000002</v>
      </c>
      <c r="G221" s="2">
        <v>1000</v>
      </c>
      <c r="H221" s="2">
        <v>2.71</v>
      </c>
      <c r="I221" s="2">
        <f t="shared" si="7"/>
        <v>0</v>
      </c>
    </row>
    <row r="222" spans="3:9" x14ac:dyDescent="0.35">
      <c r="C222" s="1">
        <v>221</v>
      </c>
      <c r="D222" s="2">
        <v>12</v>
      </c>
      <c r="E222" s="2">
        <f t="shared" si="6"/>
        <v>0.24</v>
      </c>
      <c r="F222" s="2">
        <v>1.57</v>
      </c>
      <c r="G222" s="2">
        <v>1000</v>
      </c>
      <c r="H222" s="2">
        <v>1.89</v>
      </c>
      <c r="I222" s="2">
        <f t="shared" si="7"/>
        <v>0</v>
      </c>
    </row>
    <row r="223" spans="3:9" x14ac:dyDescent="0.35">
      <c r="C223" s="1">
        <v>222</v>
      </c>
      <c r="D223" s="2">
        <v>11</v>
      </c>
      <c r="E223" s="2">
        <f t="shared" si="6"/>
        <v>0.22</v>
      </c>
      <c r="F223" s="2">
        <v>1.57</v>
      </c>
      <c r="G223" s="2">
        <v>1000</v>
      </c>
      <c r="H223" s="2">
        <v>1.85</v>
      </c>
      <c r="I223" s="2">
        <f t="shared" si="7"/>
        <v>0</v>
      </c>
    </row>
    <row r="224" spans="3:9" x14ac:dyDescent="0.35">
      <c r="C224" s="1">
        <v>223</v>
      </c>
      <c r="D224" s="2">
        <v>10</v>
      </c>
      <c r="E224" s="2">
        <f t="shared" si="6"/>
        <v>0.2</v>
      </c>
      <c r="F224" s="2">
        <v>1.44</v>
      </c>
      <c r="G224" s="2">
        <v>1000</v>
      </c>
      <c r="H224" s="2">
        <v>1.88</v>
      </c>
      <c r="I224" s="2">
        <f t="shared" si="7"/>
        <v>0</v>
      </c>
    </row>
    <row r="225" spans="3:9" x14ac:dyDescent="0.35">
      <c r="C225" s="1">
        <v>224</v>
      </c>
      <c r="D225" s="2">
        <v>9</v>
      </c>
      <c r="E225" s="2">
        <f t="shared" si="6"/>
        <v>0.18</v>
      </c>
      <c r="F225" s="2">
        <v>1.44</v>
      </c>
      <c r="G225" s="2">
        <v>1000</v>
      </c>
      <c r="H225" s="2">
        <v>1.86</v>
      </c>
      <c r="I225" s="2">
        <f t="shared" si="7"/>
        <v>0</v>
      </c>
    </row>
    <row r="226" spans="3:9" x14ac:dyDescent="0.35">
      <c r="C226" s="1">
        <v>225</v>
      </c>
      <c r="D226" s="2">
        <v>8</v>
      </c>
      <c r="E226" s="2">
        <f t="shared" si="6"/>
        <v>0.16</v>
      </c>
      <c r="F226" s="2">
        <v>1.57</v>
      </c>
      <c r="G226" s="2">
        <v>1000</v>
      </c>
      <c r="H226" s="2">
        <v>1.85</v>
      </c>
      <c r="I226" s="2">
        <f t="shared" si="7"/>
        <v>0</v>
      </c>
    </row>
    <row r="227" spans="3:9" x14ac:dyDescent="0.35">
      <c r="C227" s="1">
        <v>226</v>
      </c>
      <c r="D227" s="2">
        <v>7</v>
      </c>
      <c r="E227" s="2">
        <f t="shared" si="6"/>
        <v>0.14000000000000001</v>
      </c>
      <c r="F227" s="2">
        <v>1.57</v>
      </c>
      <c r="G227" s="2">
        <v>1000</v>
      </c>
      <c r="H227" s="2">
        <v>1.83</v>
      </c>
      <c r="I227" s="2">
        <f t="shared" si="7"/>
        <v>0</v>
      </c>
    </row>
    <row r="228" spans="3:9" x14ac:dyDescent="0.35">
      <c r="C228" s="1">
        <v>227</v>
      </c>
      <c r="D228" s="2">
        <v>6</v>
      </c>
      <c r="E228" s="2">
        <f t="shared" si="6"/>
        <v>0.12</v>
      </c>
      <c r="F228" s="2">
        <v>1.44</v>
      </c>
      <c r="G228" s="2">
        <v>1000</v>
      </c>
      <c r="H228" s="2">
        <v>1.82</v>
      </c>
      <c r="I228" s="2">
        <f t="shared" si="7"/>
        <v>0</v>
      </c>
    </row>
    <row r="229" spans="3:9" x14ac:dyDescent="0.35">
      <c r="C229" s="1">
        <v>228</v>
      </c>
      <c r="D229" s="2">
        <v>5</v>
      </c>
      <c r="E229" s="2">
        <f t="shared" si="6"/>
        <v>0.1</v>
      </c>
      <c r="F229" s="2">
        <v>1.57</v>
      </c>
      <c r="G229" s="2">
        <v>1000</v>
      </c>
      <c r="H229" s="2">
        <v>1.68</v>
      </c>
      <c r="I229" s="2">
        <f t="shared" si="7"/>
        <v>0</v>
      </c>
    </row>
    <row r="230" spans="3:9" x14ac:dyDescent="0.35">
      <c r="C230" s="1">
        <v>229</v>
      </c>
      <c r="D230" s="2">
        <v>4</v>
      </c>
      <c r="E230" s="2">
        <f t="shared" si="6"/>
        <v>0.08</v>
      </c>
      <c r="F230" s="2">
        <v>1.44</v>
      </c>
      <c r="G230" s="2">
        <v>1000</v>
      </c>
      <c r="H230" s="2">
        <v>1.61</v>
      </c>
      <c r="I230" s="2">
        <f t="shared" si="7"/>
        <v>0</v>
      </c>
    </row>
    <row r="231" spans="3:9" x14ac:dyDescent="0.35">
      <c r="C231" s="1">
        <v>230</v>
      </c>
      <c r="D231" s="2">
        <v>3</v>
      </c>
      <c r="E231" s="2">
        <f t="shared" si="6"/>
        <v>0.06</v>
      </c>
      <c r="F231" s="2">
        <v>1.44</v>
      </c>
      <c r="G231" s="2">
        <v>1000</v>
      </c>
      <c r="H231" s="2">
        <v>1.38</v>
      </c>
      <c r="I231" s="2">
        <f t="shared" si="7"/>
        <v>0</v>
      </c>
    </row>
    <row r="232" spans="3:9" x14ac:dyDescent="0.35">
      <c r="C232" s="1">
        <v>231</v>
      </c>
      <c r="D232" s="2">
        <v>2</v>
      </c>
      <c r="E232" s="2">
        <f t="shared" si="6"/>
        <v>0.04</v>
      </c>
      <c r="F232" s="2">
        <v>1.44</v>
      </c>
      <c r="G232" s="2">
        <v>1000</v>
      </c>
      <c r="H232" s="2">
        <f>0</f>
        <v>0</v>
      </c>
      <c r="I232" s="2">
        <f t="shared" si="7"/>
        <v>0</v>
      </c>
    </row>
    <row r="233" spans="3:9" x14ac:dyDescent="0.35">
      <c r="C233" s="1">
        <v>232</v>
      </c>
      <c r="D233" s="2">
        <v>12</v>
      </c>
      <c r="E233" s="2">
        <f t="shared" si="6"/>
        <v>0.24</v>
      </c>
      <c r="F233" s="2">
        <v>1.7</v>
      </c>
      <c r="G233" s="2">
        <v>1500</v>
      </c>
      <c r="H233" s="2">
        <v>2.17</v>
      </c>
      <c r="I233" s="2">
        <f t="shared" si="7"/>
        <v>0</v>
      </c>
    </row>
    <row r="234" spans="3:9" x14ac:dyDescent="0.35">
      <c r="C234" s="1">
        <v>233</v>
      </c>
      <c r="D234" s="2">
        <v>11</v>
      </c>
      <c r="E234" s="2">
        <f t="shared" si="6"/>
        <v>0.22</v>
      </c>
      <c r="F234" s="2">
        <v>1.7</v>
      </c>
      <c r="G234" s="2">
        <v>1500</v>
      </c>
      <c r="H234" s="2">
        <v>2.11</v>
      </c>
      <c r="I234" s="2">
        <f t="shared" si="7"/>
        <v>0</v>
      </c>
    </row>
    <row r="235" spans="3:9" x14ac:dyDescent="0.35">
      <c r="C235" s="1">
        <v>234</v>
      </c>
      <c r="D235" s="2">
        <v>10</v>
      </c>
      <c r="E235" s="2">
        <f t="shared" si="6"/>
        <v>0.2</v>
      </c>
      <c r="F235" s="2">
        <v>1.7</v>
      </c>
      <c r="G235" s="2">
        <v>1500</v>
      </c>
      <c r="H235" s="2">
        <v>2.0499999999999998</v>
      </c>
      <c r="I235" s="2">
        <f t="shared" si="7"/>
        <v>0</v>
      </c>
    </row>
    <row r="236" spans="3:9" x14ac:dyDescent="0.35">
      <c r="C236" s="1">
        <v>235</v>
      </c>
      <c r="D236" s="2">
        <v>9</v>
      </c>
      <c r="E236" s="2">
        <f t="shared" si="6"/>
        <v>0.18</v>
      </c>
      <c r="F236" s="2">
        <v>1.44</v>
      </c>
      <c r="G236" s="2">
        <v>1500</v>
      </c>
      <c r="H236" s="2">
        <v>1.45</v>
      </c>
      <c r="I236" s="2">
        <f t="shared" si="7"/>
        <v>0</v>
      </c>
    </row>
    <row r="237" spans="3:9" x14ac:dyDescent="0.35">
      <c r="C237" s="1">
        <v>236</v>
      </c>
      <c r="D237" s="2">
        <v>8</v>
      </c>
      <c r="E237" s="2">
        <f t="shared" si="6"/>
        <v>0.16</v>
      </c>
      <c r="F237" s="2">
        <v>1.44</v>
      </c>
      <c r="G237" s="2">
        <v>1500</v>
      </c>
      <c r="H237" s="2">
        <v>1.51</v>
      </c>
      <c r="I237" s="2">
        <f t="shared" si="7"/>
        <v>0</v>
      </c>
    </row>
    <row r="238" spans="3:9" x14ac:dyDescent="0.35">
      <c r="C238" s="1">
        <v>237</v>
      </c>
      <c r="D238" s="2">
        <v>7</v>
      </c>
      <c r="E238" s="2">
        <f t="shared" si="6"/>
        <v>0.14000000000000001</v>
      </c>
      <c r="F238" s="2">
        <v>1.44</v>
      </c>
      <c r="G238" s="2">
        <v>1500</v>
      </c>
      <c r="H238" s="2">
        <v>1.33</v>
      </c>
      <c r="I238" s="2">
        <f t="shared" si="7"/>
        <v>0</v>
      </c>
    </row>
    <row r="239" spans="3:9" x14ac:dyDescent="0.35">
      <c r="C239" s="1">
        <v>238</v>
      </c>
      <c r="D239" s="2">
        <v>6</v>
      </c>
      <c r="E239" s="2">
        <f t="shared" si="6"/>
        <v>0.12</v>
      </c>
      <c r="F239" s="2">
        <v>1.44</v>
      </c>
      <c r="G239" s="2">
        <v>1500</v>
      </c>
      <c r="H239" s="2">
        <v>1.46</v>
      </c>
      <c r="I239" s="2">
        <f t="shared" si="7"/>
        <v>0</v>
      </c>
    </row>
    <row r="240" spans="3:9" x14ac:dyDescent="0.35">
      <c r="C240" s="1">
        <v>239</v>
      </c>
      <c r="D240" s="2">
        <v>5</v>
      </c>
      <c r="E240" s="2">
        <f t="shared" si="6"/>
        <v>0.1</v>
      </c>
      <c r="F240" s="2">
        <v>1.44</v>
      </c>
      <c r="G240" s="2">
        <v>1500</v>
      </c>
      <c r="H240" s="2">
        <v>1.36</v>
      </c>
      <c r="I240" s="2">
        <f t="shared" si="7"/>
        <v>0</v>
      </c>
    </row>
    <row r="241" spans="3:9" x14ac:dyDescent="0.35">
      <c r="C241" s="1">
        <v>240</v>
      </c>
      <c r="D241" s="2">
        <v>4</v>
      </c>
      <c r="E241" s="2">
        <f t="shared" si="6"/>
        <v>0.08</v>
      </c>
      <c r="F241" s="2">
        <v>1.44</v>
      </c>
      <c r="G241" s="2">
        <v>1500</v>
      </c>
      <c r="H241" s="2">
        <v>1.17</v>
      </c>
      <c r="I241" s="2">
        <f t="shared" si="7"/>
        <v>0</v>
      </c>
    </row>
    <row r="242" spans="3:9" x14ac:dyDescent="0.35">
      <c r="C242" s="1">
        <v>241</v>
      </c>
      <c r="D242" s="2">
        <v>3</v>
      </c>
      <c r="E242" s="2">
        <f t="shared" si="6"/>
        <v>0.06</v>
      </c>
      <c r="F242" s="2">
        <v>1.44</v>
      </c>
      <c r="G242" s="2">
        <v>1500</v>
      </c>
      <c r="H242" s="2">
        <v>1.38</v>
      </c>
      <c r="I242" s="2">
        <f t="shared" si="7"/>
        <v>0</v>
      </c>
    </row>
    <row r="243" spans="3:9" x14ac:dyDescent="0.35">
      <c r="C243" s="1">
        <v>242</v>
      </c>
      <c r="D243" s="2">
        <v>2</v>
      </c>
      <c r="E243" s="2">
        <f t="shared" si="6"/>
        <v>0.04</v>
      </c>
      <c r="F243" s="2">
        <v>1.57</v>
      </c>
      <c r="G243" s="2">
        <v>1500</v>
      </c>
      <c r="H243" s="2">
        <v>0.7</v>
      </c>
      <c r="I243" s="2">
        <f t="shared" si="7"/>
        <v>0</v>
      </c>
    </row>
  </sheetData>
  <autoFilter ref="C1:I243" xr:uid="{8A70B859-E69B-42C0-8F22-E6B7CE4F9AB8}">
    <sortState ref="C2:I243">
      <sortCondition ref="C1:C243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oml</cp:lastModifiedBy>
  <cp:lastPrinted>2016-06-18T15:59:01Z</cp:lastPrinted>
  <dcterms:created xsi:type="dcterms:W3CDTF">2007-10-13T11:23:11Z</dcterms:created>
  <dcterms:modified xsi:type="dcterms:W3CDTF">2022-04-09T07:05:49Z</dcterms:modified>
</cp:coreProperties>
</file>